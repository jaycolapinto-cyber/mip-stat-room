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914DC20F5C50B12/Documents/"/>
    </mc:Choice>
  </mc:AlternateContent>
  <xr:revisionPtr revIDLastSave="0" documentId="8_{54C89DF7-A515-4BC0-B054-A643BD4285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Stan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9" i="1" l="1"/>
  <c r="G89" i="1"/>
  <c r="J88" i="1"/>
  <c r="G88" i="1"/>
  <c r="J87" i="1"/>
  <c r="G87" i="1"/>
  <c r="J86" i="1"/>
  <c r="G86" i="1"/>
  <c r="J85" i="1"/>
  <c r="G85" i="1"/>
  <c r="J84" i="1"/>
  <c r="G84" i="1"/>
  <c r="J83" i="1"/>
  <c r="G83" i="1"/>
  <c r="J82" i="1"/>
  <c r="G82" i="1"/>
  <c r="J81" i="1"/>
  <c r="G81" i="1"/>
  <c r="J80" i="1"/>
  <c r="G80" i="1"/>
  <c r="J79" i="1"/>
  <c r="G79" i="1"/>
  <c r="J78" i="1"/>
  <c r="G78" i="1"/>
  <c r="J77" i="1"/>
  <c r="G77" i="1"/>
  <c r="J76" i="1"/>
  <c r="G76" i="1"/>
  <c r="J75" i="1"/>
  <c r="G75" i="1"/>
  <c r="J74" i="1"/>
  <c r="G74" i="1"/>
  <c r="J73" i="1"/>
  <c r="G73" i="1"/>
  <c r="J72" i="1"/>
  <c r="G72" i="1"/>
  <c r="J71" i="1"/>
  <c r="G71" i="1"/>
  <c r="J70" i="1"/>
  <c r="G70" i="1"/>
  <c r="J69" i="1"/>
  <c r="G69" i="1"/>
  <c r="J68" i="1"/>
  <c r="G68" i="1"/>
  <c r="J67" i="1"/>
  <c r="G67" i="1"/>
  <c r="J66" i="1"/>
  <c r="G66" i="1"/>
  <c r="J65" i="1"/>
  <c r="G65" i="1"/>
  <c r="J64" i="1"/>
  <c r="G64" i="1"/>
  <c r="J63" i="1"/>
  <c r="G63" i="1"/>
  <c r="J62" i="1"/>
  <c r="G62" i="1"/>
  <c r="J61" i="1"/>
  <c r="G61" i="1"/>
  <c r="J60" i="1"/>
  <c r="G60" i="1"/>
  <c r="J59" i="1"/>
  <c r="G59" i="1"/>
  <c r="J58" i="1"/>
  <c r="G58" i="1"/>
  <c r="J57" i="1"/>
  <c r="G57" i="1"/>
  <c r="J56" i="1"/>
  <c r="G56" i="1"/>
  <c r="J55" i="1"/>
  <c r="G55" i="1"/>
  <c r="J54" i="1"/>
  <c r="G54" i="1"/>
  <c r="J53" i="1"/>
  <c r="G53" i="1"/>
  <c r="J52" i="1"/>
  <c r="G52" i="1"/>
  <c r="J51" i="1"/>
  <c r="G51" i="1"/>
  <c r="J50" i="1"/>
  <c r="G50" i="1"/>
  <c r="J49" i="1"/>
  <c r="G49" i="1"/>
  <c r="J48" i="1"/>
  <c r="G48" i="1"/>
  <c r="J47" i="1"/>
  <c r="G47" i="1"/>
  <c r="J46" i="1"/>
  <c r="G46" i="1"/>
  <c r="J45" i="1"/>
  <c r="G45" i="1"/>
  <c r="J44" i="1"/>
  <c r="G44" i="1"/>
  <c r="J43" i="1"/>
  <c r="G43" i="1"/>
  <c r="J42" i="1"/>
  <c r="G42" i="1"/>
  <c r="J41" i="1"/>
  <c r="G41" i="1"/>
  <c r="J40" i="1"/>
  <c r="G40" i="1"/>
  <c r="J39" i="1"/>
  <c r="G39" i="1"/>
  <c r="J38" i="1"/>
  <c r="G38" i="1"/>
  <c r="J37" i="1"/>
  <c r="G37" i="1"/>
  <c r="J36" i="1"/>
  <c r="G36" i="1"/>
  <c r="J35" i="1"/>
  <c r="G35" i="1"/>
  <c r="J34" i="1"/>
  <c r="G34" i="1"/>
  <c r="J33" i="1"/>
  <c r="G33" i="1"/>
  <c r="J32" i="1"/>
  <c r="G32" i="1"/>
  <c r="J31" i="1"/>
  <c r="G31" i="1"/>
  <c r="J30" i="1"/>
  <c r="G30" i="1"/>
  <c r="J29" i="1"/>
  <c r="G29" i="1"/>
  <c r="J28" i="1"/>
  <c r="G28" i="1"/>
  <c r="J27" i="1"/>
  <c r="G27" i="1"/>
  <c r="J26" i="1"/>
  <c r="G26" i="1"/>
  <c r="J25" i="1"/>
  <c r="G25" i="1"/>
  <c r="J24" i="1"/>
  <c r="G24" i="1"/>
  <c r="J23" i="1"/>
  <c r="G23" i="1"/>
  <c r="J22" i="1"/>
  <c r="G22" i="1"/>
  <c r="J21" i="1"/>
  <c r="G21" i="1"/>
  <c r="J20" i="1"/>
  <c r="G20" i="1"/>
  <c r="J19" i="1"/>
  <c r="G19" i="1"/>
  <c r="J18" i="1"/>
  <c r="G18" i="1"/>
  <c r="J17" i="1"/>
  <c r="G17" i="1"/>
  <c r="J16" i="1"/>
  <c r="G16" i="1"/>
  <c r="J15" i="1"/>
  <c r="G15" i="1"/>
  <c r="J14" i="1"/>
  <c r="G14" i="1"/>
  <c r="J13" i="1"/>
  <c r="G13" i="1"/>
  <c r="J12" i="1"/>
  <c r="G12" i="1"/>
  <c r="J11" i="1"/>
  <c r="G11" i="1"/>
  <c r="J10" i="1"/>
  <c r="G10" i="1"/>
  <c r="J9" i="1"/>
  <c r="G9" i="1"/>
  <c r="J8" i="1"/>
  <c r="G8" i="1"/>
  <c r="J7" i="1"/>
  <c r="G7" i="1"/>
  <c r="J6" i="1"/>
  <c r="G6" i="1"/>
  <c r="J5" i="1"/>
  <c r="G5" i="1"/>
  <c r="J4" i="1"/>
  <c r="G4" i="1"/>
</calcChain>
</file>

<file path=xl/sharedStrings.xml><?xml version="1.0" encoding="utf-8"?>
<sst xmlns="http://schemas.openxmlformats.org/spreadsheetml/2006/main" count="99" uniqueCount="99">
  <si>
    <t>Rank</t>
  </si>
  <si>
    <t>Player</t>
  </si>
  <si>
    <t>Games</t>
  </si>
  <si>
    <t>Events</t>
  </si>
  <si>
    <t>Wins</t>
  </si>
  <si>
    <t>Losses</t>
  </si>
  <si>
    <t>Win %</t>
  </si>
  <si>
    <t>Points For</t>
  </si>
  <si>
    <t>Points Against</t>
  </si>
  <si>
    <t>Point Diff</t>
  </si>
  <si>
    <t>Medals</t>
  </si>
  <si>
    <t>Gold</t>
  </si>
  <si>
    <t>Jeremie A.</t>
  </si>
  <si>
    <t>John F</t>
  </si>
  <si>
    <t>Christopher G.</t>
  </si>
  <si>
    <t>Jonathan Gottesmann</t>
  </si>
  <si>
    <t>Josh J.</t>
  </si>
  <si>
    <t>Brendan S.</t>
  </si>
  <si>
    <t>LANCE J.</t>
  </si>
  <si>
    <t>Konstantin G.</t>
  </si>
  <si>
    <t>Bobby P</t>
  </si>
  <si>
    <t>Erik D.</t>
  </si>
  <si>
    <t>Laura P.</t>
  </si>
  <si>
    <t>Rafael M.</t>
  </si>
  <si>
    <t>Michael Crews</t>
  </si>
  <si>
    <t>JonMac75☘️</t>
  </si>
  <si>
    <t>Chase Gold</t>
  </si>
  <si>
    <t>Ken L.</t>
  </si>
  <si>
    <t>Juju🇩🇴🧿</t>
  </si>
  <si>
    <t>M Spezio</t>
  </si>
  <si>
    <t>Renata P.</t>
  </si>
  <si>
    <t>Jin L.</t>
  </si>
  <si>
    <t>Michael G.</t>
  </si>
  <si>
    <t>Adam K.</t>
  </si>
  <si>
    <t>Rex B.</t>
  </si>
  <si>
    <t>Jay C</t>
  </si>
  <si>
    <t>Frederick Halikias</t>
  </si>
  <si>
    <t>Halime Berkay</t>
  </si>
  <si>
    <t>Karen Mangione</t>
  </si>
  <si>
    <t>Hersh</t>
  </si>
  <si>
    <t>Adrian M.</t>
  </si>
  <si>
    <t>Peter P.</t>
  </si>
  <si>
    <t>Jeff F.</t>
  </si>
  <si>
    <t>Michael Bellini</t>
  </si>
  <si>
    <t>D-Hub27🍺</t>
  </si>
  <si>
    <t>Gary K.</t>
  </si>
  <si>
    <t>Tim L</t>
  </si>
  <si>
    <t>🇺🇸 Scadutes 🇺🇸</t>
  </si>
  <si>
    <t>Noah H.</t>
  </si>
  <si>
    <t>Adam B</t>
  </si>
  <si>
    <t>Matthew L.</t>
  </si>
  <si>
    <t>Vincent C.</t>
  </si>
  <si>
    <t>Shentah P.</t>
  </si>
  <si>
    <t>J.Z.</t>
  </si>
  <si>
    <t>Jaime Frand</t>
  </si>
  <si>
    <t>Stork 🇺🇸🍻</t>
  </si>
  <si>
    <t>Don Desroches</t>
  </si>
  <si>
    <t>Eddie</t>
  </si>
  <si>
    <t>Tony R.</t>
  </si>
  <si>
    <t>R.Mentz 🏴‍☠️</t>
  </si>
  <si>
    <t>Mike B.</t>
  </si>
  <si>
    <t>Shane M.</t>
  </si>
  <si>
    <t>Andrew J.</t>
  </si>
  <si>
    <t>Erwin N.</t>
  </si>
  <si>
    <t>Alexia Y.</t>
  </si>
  <si>
    <t>Angel V.</t>
  </si>
  <si>
    <t>Peter A.</t>
  </si>
  <si>
    <t>Jaime M.</t>
  </si>
  <si>
    <t>John M.</t>
  </si>
  <si>
    <t>Frank R.</t>
  </si>
  <si>
    <t>Jason V.</t>
  </si>
  <si>
    <t>Ronnie D</t>
  </si>
  <si>
    <t>Paul H.</t>
  </si>
  <si>
    <t>Karen P.</t>
  </si>
  <si>
    <t>Winnie Gao</t>
  </si>
  <si>
    <t>Martha G.</t>
  </si>
  <si>
    <t>Jackie Mahoney</t>
  </si>
  <si>
    <t>Nicole B.</t>
  </si>
  <si>
    <t>Christie S.🍷</t>
  </si>
  <si>
    <t>Stephen R.</t>
  </si>
  <si>
    <t>🇺🇸 EJ 🇺🇸</t>
  </si>
  <si>
    <t>Charles M.</t>
  </si>
  <si>
    <t>Chris P.</t>
  </si>
  <si>
    <t>Bill R.</t>
  </si>
  <si>
    <t>BReady</t>
  </si>
  <si>
    <t>David J.</t>
  </si>
  <si>
    <t>Lisa C.</t>
  </si>
  <si>
    <t>Michael C.</t>
  </si>
  <si>
    <t>Edwin Adams</t>
  </si>
  <si>
    <t>Gennaro Izzo</t>
  </si>
  <si>
    <t>L. Glods ❤️</t>
  </si>
  <si>
    <t>🦅</t>
  </si>
  <si>
    <t>Juan G.</t>
  </si>
  <si>
    <t>Tori</t>
  </si>
  <si>
    <t>Andy</t>
  </si>
  <si>
    <t>Jamie Y.</t>
  </si>
  <si>
    <t>Chasette Gold</t>
  </si>
  <si>
    <t>Jeff A.</t>
  </si>
  <si>
    <t>Week of September 6th through September 12th                                                      MIP Master Standings — 8 Tournaments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</si>
</sst>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rlito"/>
    </font>
    <font>
      <sz val="1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 Display"/>
      <family val="2"/>
    </font>
    <font>
      <sz val="11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" fontId="4" fillId="6" borderId="2" xfId="0" applyNumberFormat="1" applyFont="1" applyFill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PMasterStandings" displayName="MIPMasterStandings" ref="A3:L79" totalsRowShown="0">
  <autoFilter ref="A3:L79" xr:uid="{00000000-0009-0000-0100-000001000000}"/>
  <tableColumns count="12">
    <tableColumn id="1" xr3:uid="{00000000-0010-0000-0000-000001000000}" name="Rank"/>
    <tableColumn id="2" xr3:uid="{00000000-0010-0000-0000-000002000000}" name="Player"/>
    <tableColumn id="3" xr3:uid="{00000000-0010-0000-0000-000003000000}" name="Games"/>
    <tableColumn id="4" xr3:uid="{00000000-0010-0000-0000-000004000000}" name="Events"/>
    <tableColumn id="5" xr3:uid="{00000000-0010-0000-0000-000005000000}" name="Wins"/>
    <tableColumn id="6" xr3:uid="{00000000-0010-0000-0000-000006000000}" name="Losses"/>
    <tableColumn id="7" xr3:uid="{00000000-0010-0000-0000-000007000000}" name="Win %"/>
    <tableColumn id="8" xr3:uid="{00000000-0010-0000-0000-000008000000}" name="Points For"/>
    <tableColumn id="9" xr3:uid="{00000000-0010-0000-0000-000009000000}" name="Points Against"/>
    <tableColumn id="10" xr3:uid="{00000000-0010-0000-0000-00000A000000}" name="Point Diff"/>
    <tableColumn id="11" xr3:uid="{00000000-0010-0000-0000-00000B000000}" name="Medals"/>
    <tableColumn id="12" xr3:uid="{00000000-0010-0000-0000-00000C000000}" name="Gold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showGridLines="0" tabSelected="1" workbookViewId="0">
      <pane ySplit="3" topLeftCell="A4" activePane="bottomLeft" state="frozen"/>
      <selection pane="bottomLeft" activeCell="K46" sqref="K46"/>
    </sheetView>
  </sheetViews>
  <sheetFormatPr defaultRowHeight="14.25"/>
  <cols>
    <col min="1" max="1" width="8" customWidth="1"/>
    <col min="2" max="2" width="24" customWidth="1"/>
    <col min="3" max="7" width="11" customWidth="1"/>
    <col min="8" max="9" width="15" customWidth="1"/>
    <col min="10" max="12" width="12" customWidth="1"/>
  </cols>
  <sheetData>
    <row r="1" spans="1:12" ht="39.950000000000003" customHeight="1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ht="20.100000000000001" customHeight="1">
      <c r="A4" s="3">
        <v>1</v>
      </c>
      <c r="B4" s="4" t="s">
        <v>12</v>
      </c>
      <c r="C4" s="3">
        <v>11</v>
      </c>
      <c r="D4" s="3">
        <v>1</v>
      </c>
      <c r="E4" s="3">
        <v>10</v>
      </c>
      <c r="F4" s="3">
        <v>1</v>
      </c>
      <c r="G4" s="9">
        <f t="shared" ref="G4:G35" si="0">IF(C4=0,0,E4/C4)</f>
        <v>0.90909090909090906</v>
      </c>
      <c r="H4" s="3">
        <v>113</v>
      </c>
      <c r="I4" s="3">
        <v>94</v>
      </c>
      <c r="J4" s="3">
        <f t="shared" ref="J4:J35" si="1">H4-I4</f>
        <v>19</v>
      </c>
      <c r="K4" s="11">
        <v>1</v>
      </c>
      <c r="L4" s="8">
        <v>1</v>
      </c>
    </row>
    <row r="5" spans="1:12" ht="20.100000000000001" customHeight="1">
      <c r="A5" s="3">
        <v>2</v>
      </c>
      <c r="B5" s="4" t="s">
        <v>13</v>
      </c>
      <c r="C5" s="3">
        <v>11</v>
      </c>
      <c r="D5" s="3">
        <v>1</v>
      </c>
      <c r="E5" s="3">
        <v>9</v>
      </c>
      <c r="F5" s="3">
        <v>2</v>
      </c>
      <c r="G5" s="12">
        <f t="shared" si="0"/>
        <v>0.81818181818181823</v>
      </c>
      <c r="H5" s="3">
        <v>126</v>
      </c>
      <c r="I5" s="3">
        <v>95</v>
      </c>
      <c r="J5" s="3">
        <f t="shared" si="1"/>
        <v>31</v>
      </c>
      <c r="K5" s="11">
        <v>1</v>
      </c>
      <c r="L5" s="8">
        <v>1</v>
      </c>
    </row>
    <row r="6" spans="1:12" ht="20.100000000000001" customHeight="1">
      <c r="A6" s="3">
        <v>3</v>
      </c>
      <c r="B6" s="4" t="s">
        <v>14</v>
      </c>
      <c r="C6" s="3">
        <v>11</v>
      </c>
      <c r="D6" s="3">
        <v>1</v>
      </c>
      <c r="E6" s="3">
        <v>9</v>
      </c>
      <c r="F6" s="3">
        <v>2</v>
      </c>
      <c r="G6" s="12">
        <f t="shared" si="0"/>
        <v>0.81818181818181823</v>
      </c>
      <c r="H6" s="3">
        <v>121</v>
      </c>
      <c r="I6" s="3">
        <v>94</v>
      </c>
      <c r="J6" s="3">
        <f t="shared" si="1"/>
        <v>27</v>
      </c>
      <c r="K6" s="11">
        <v>1</v>
      </c>
      <c r="L6" s="3">
        <v>0</v>
      </c>
    </row>
    <row r="7" spans="1:12" ht="20.100000000000001" customHeight="1">
      <c r="A7" s="3">
        <v>4</v>
      </c>
      <c r="B7" s="4" t="s">
        <v>15</v>
      </c>
      <c r="C7" s="3">
        <v>11</v>
      </c>
      <c r="D7" s="3">
        <v>1</v>
      </c>
      <c r="E7" s="3">
        <v>9</v>
      </c>
      <c r="F7" s="3">
        <v>2</v>
      </c>
      <c r="G7" s="12">
        <f t="shared" si="0"/>
        <v>0.81818181818181823</v>
      </c>
      <c r="H7" s="3">
        <v>118</v>
      </c>
      <c r="I7" s="3">
        <v>94</v>
      </c>
      <c r="J7" s="3">
        <f t="shared" si="1"/>
        <v>24</v>
      </c>
      <c r="K7" s="11">
        <v>1</v>
      </c>
      <c r="L7" s="8">
        <v>1</v>
      </c>
    </row>
    <row r="8" spans="1:12" ht="20.100000000000001" customHeight="1">
      <c r="A8" s="3">
        <v>5</v>
      </c>
      <c r="B8" s="4" t="s">
        <v>16</v>
      </c>
      <c r="C8" s="3">
        <v>11</v>
      </c>
      <c r="D8" s="3">
        <v>1</v>
      </c>
      <c r="E8" s="3">
        <v>9</v>
      </c>
      <c r="F8" s="3">
        <v>2</v>
      </c>
      <c r="G8" s="12">
        <f t="shared" si="0"/>
        <v>0.81818181818181823</v>
      </c>
      <c r="H8" s="3">
        <v>112</v>
      </c>
      <c r="I8" s="3">
        <v>88</v>
      </c>
      <c r="J8" s="3">
        <f t="shared" si="1"/>
        <v>24</v>
      </c>
      <c r="K8" s="11">
        <v>1</v>
      </c>
      <c r="L8" s="3">
        <v>0</v>
      </c>
    </row>
    <row r="9" spans="1:12" ht="20.100000000000001" customHeight="1">
      <c r="A9" s="3">
        <v>6</v>
      </c>
      <c r="B9" s="4" t="s">
        <v>17</v>
      </c>
      <c r="C9" s="3">
        <v>21</v>
      </c>
      <c r="D9" s="3">
        <v>2</v>
      </c>
      <c r="E9" s="3">
        <v>16</v>
      </c>
      <c r="F9" s="3">
        <v>5</v>
      </c>
      <c r="G9" s="5">
        <f t="shared" si="0"/>
        <v>0.76190476190476186</v>
      </c>
      <c r="H9" s="3">
        <v>226</v>
      </c>
      <c r="I9" s="3">
        <v>176</v>
      </c>
      <c r="J9" s="10">
        <f t="shared" si="1"/>
        <v>50</v>
      </c>
      <c r="K9" s="8">
        <v>2</v>
      </c>
      <c r="L9" s="3">
        <v>1</v>
      </c>
    </row>
    <row r="10" spans="1:12" ht="20.100000000000001" customHeight="1">
      <c r="A10" s="3">
        <v>7</v>
      </c>
      <c r="B10" s="4" t="s">
        <v>18</v>
      </c>
      <c r="C10" s="3">
        <v>11</v>
      </c>
      <c r="D10" s="3">
        <v>1</v>
      </c>
      <c r="E10" s="3">
        <v>8</v>
      </c>
      <c r="F10" s="3">
        <v>3</v>
      </c>
      <c r="G10" s="5">
        <f t="shared" si="0"/>
        <v>0.72727272727272729</v>
      </c>
      <c r="H10" s="3">
        <v>111</v>
      </c>
      <c r="I10" s="3">
        <v>87</v>
      </c>
      <c r="J10" s="3">
        <f t="shared" si="1"/>
        <v>24</v>
      </c>
      <c r="K10" s="3">
        <v>0</v>
      </c>
      <c r="L10" s="3">
        <v>0</v>
      </c>
    </row>
    <row r="11" spans="1:12" ht="20.100000000000001" customHeight="1">
      <c r="A11" s="3">
        <v>8</v>
      </c>
      <c r="B11" s="4" t="s">
        <v>19</v>
      </c>
      <c r="C11" s="3">
        <v>11</v>
      </c>
      <c r="D11" s="3">
        <v>1</v>
      </c>
      <c r="E11" s="3">
        <v>8</v>
      </c>
      <c r="F11" s="3">
        <v>3</v>
      </c>
      <c r="G11" s="5">
        <f t="shared" si="0"/>
        <v>0.72727272727272729</v>
      </c>
      <c r="H11" s="3">
        <v>116</v>
      </c>
      <c r="I11" s="3">
        <v>93</v>
      </c>
      <c r="J11" s="3">
        <f t="shared" si="1"/>
        <v>23</v>
      </c>
      <c r="K11" s="11">
        <v>1</v>
      </c>
      <c r="L11" s="3">
        <v>0</v>
      </c>
    </row>
    <row r="12" spans="1:12" ht="20.100000000000001" customHeight="1">
      <c r="A12" s="3">
        <v>9</v>
      </c>
      <c r="B12" s="4" t="s">
        <v>20</v>
      </c>
      <c r="C12" s="3">
        <v>11</v>
      </c>
      <c r="D12" s="3">
        <v>1</v>
      </c>
      <c r="E12" s="3">
        <v>8</v>
      </c>
      <c r="F12" s="3">
        <v>3</v>
      </c>
      <c r="G12" s="5">
        <f t="shared" si="0"/>
        <v>0.72727272727272729</v>
      </c>
      <c r="H12" s="3">
        <v>126</v>
      </c>
      <c r="I12" s="3">
        <v>104</v>
      </c>
      <c r="J12" s="3">
        <f t="shared" si="1"/>
        <v>22</v>
      </c>
      <c r="K12" s="3">
        <v>1</v>
      </c>
      <c r="L12" s="8">
        <v>1</v>
      </c>
    </row>
    <row r="13" spans="1:12" ht="20.100000000000001" customHeight="1">
      <c r="A13" s="3">
        <v>10</v>
      </c>
      <c r="B13" s="4" t="s">
        <v>21</v>
      </c>
      <c r="C13" s="3">
        <v>11</v>
      </c>
      <c r="D13" s="3">
        <v>1</v>
      </c>
      <c r="E13" s="3">
        <v>8</v>
      </c>
      <c r="F13" s="3">
        <v>3</v>
      </c>
      <c r="G13" s="5">
        <f t="shared" si="0"/>
        <v>0.72727272727272729</v>
      </c>
      <c r="H13" s="3">
        <v>109</v>
      </c>
      <c r="I13" s="3">
        <v>93</v>
      </c>
      <c r="J13" s="3">
        <f t="shared" si="1"/>
        <v>16</v>
      </c>
      <c r="K13" s="3">
        <v>0</v>
      </c>
      <c r="L13" s="3">
        <v>0</v>
      </c>
    </row>
    <row r="14" spans="1:12" ht="20.100000000000001" customHeight="1">
      <c r="A14" s="3">
        <v>11</v>
      </c>
      <c r="B14" s="4" t="s">
        <v>22</v>
      </c>
      <c r="C14" s="3">
        <v>11</v>
      </c>
      <c r="D14" s="3">
        <v>1</v>
      </c>
      <c r="E14" s="3">
        <v>8</v>
      </c>
      <c r="F14" s="3">
        <v>3</v>
      </c>
      <c r="G14" s="5">
        <f t="shared" si="0"/>
        <v>0.72727272727272729</v>
      </c>
      <c r="H14" s="3">
        <v>113</v>
      </c>
      <c r="I14" s="3">
        <v>108</v>
      </c>
      <c r="J14" s="3">
        <f t="shared" si="1"/>
        <v>5</v>
      </c>
      <c r="K14" s="11">
        <v>1</v>
      </c>
      <c r="L14" s="3">
        <v>0</v>
      </c>
    </row>
    <row r="15" spans="1:12" ht="20.100000000000001" customHeight="1">
      <c r="A15" s="3">
        <v>12</v>
      </c>
      <c r="B15" s="4" t="s">
        <v>23</v>
      </c>
      <c r="C15" s="3">
        <v>22</v>
      </c>
      <c r="D15" s="3">
        <v>2</v>
      </c>
      <c r="E15" s="3">
        <v>15</v>
      </c>
      <c r="F15" s="3">
        <v>7</v>
      </c>
      <c r="G15" s="5">
        <f t="shared" si="0"/>
        <v>0.68181818181818177</v>
      </c>
      <c r="H15" s="3">
        <v>219</v>
      </c>
      <c r="I15" s="3">
        <v>188</v>
      </c>
      <c r="J15" s="3">
        <f t="shared" si="1"/>
        <v>31</v>
      </c>
      <c r="K15" s="3">
        <v>0</v>
      </c>
      <c r="L15" s="3">
        <v>0</v>
      </c>
    </row>
    <row r="16" spans="1:12" ht="20.100000000000001" customHeight="1">
      <c r="A16" s="3">
        <v>13</v>
      </c>
      <c r="B16" s="4" t="s">
        <v>24</v>
      </c>
      <c r="C16" s="3">
        <v>9</v>
      </c>
      <c r="D16" s="3">
        <v>1</v>
      </c>
      <c r="E16" s="3">
        <v>6</v>
      </c>
      <c r="F16" s="3">
        <v>3</v>
      </c>
      <c r="G16" s="5">
        <f t="shared" si="0"/>
        <v>0.66666666666666663</v>
      </c>
      <c r="H16" s="3">
        <v>87</v>
      </c>
      <c r="I16" s="3">
        <v>80</v>
      </c>
      <c r="J16" s="3">
        <f t="shared" si="1"/>
        <v>7</v>
      </c>
      <c r="K16" s="11">
        <v>1</v>
      </c>
      <c r="L16" s="3">
        <v>0</v>
      </c>
    </row>
    <row r="17" spans="1:12" ht="20.100000000000001" customHeight="1">
      <c r="A17" s="3">
        <v>14</v>
      </c>
      <c r="B17" s="4" t="s">
        <v>25</v>
      </c>
      <c r="C17" s="3">
        <v>32</v>
      </c>
      <c r="D17" s="10">
        <v>3</v>
      </c>
      <c r="E17" s="10">
        <v>21</v>
      </c>
      <c r="F17" s="3">
        <v>11</v>
      </c>
      <c r="G17" s="5">
        <f t="shared" si="0"/>
        <v>0.65625</v>
      </c>
      <c r="H17" s="3">
        <v>324</v>
      </c>
      <c r="I17" s="3">
        <v>272</v>
      </c>
      <c r="J17" s="8">
        <f t="shared" si="1"/>
        <v>52</v>
      </c>
      <c r="K17" s="8">
        <v>2</v>
      </c>
      <c r="L17" s="8">
        <v>1</v>
      </c>
    </row>
    <row r="18" spans="1:12" ht="20.100000000000001" customHeight="1">
      <c r="A18" s="3">
        <v>15</v>
      </c>
      <c r="B18" s="4" t="s">
        <v>26</v>
      </c>
      <c r="C18" s="3">
        <v>11</v>
      </c>
      <c r="D18" s="3">
        <v>1</v>
      </c>
      <c r="E18" s="3">
        <v>7</v>
      </c>
      <c r="F18" s="3">
        <v>4</v>
      </c>
      <c r="G18" s="5">
        <f t="shared" si="0"/>
        <v>0.63636363636363635</v>
      </c>
      <c r="H18" s="3">
        <v>117</v>
      </c>
      <c r="I18" s="3">
        <v>93</v>
      </c>
      <c r="J18" s="3">
        <f t="shared" si="1"/>
        <v>24</v>
      </c>
      <c r="K18" s="11">
        <v>1</v>
      </c>
      <c r="L18" s="3">
        <v>0</v>
      </c>
    </row>
    <row r="19" spans="1:12" ht="20.100000000000001" customHeight="1">
      <c r="A19" s="3">
        <v>16</v>
      </c>
      <c r="B19" s="4" t="s">
        <v>27</v>
      </c>
      <c r="C19" s="3">
        <v>11</v>
      </c>
      <c r="D19" s="3">
        <v>1</v>
      </c>
      <c r="E19" s="3">
        <v>7</v>
      </c>
      <c r="F19" s="3">
        <v>4</v>
      </c>
      <c r="G19" s="5">
        <f t="shared" si="0"/>
        <v>0.63636363636363635</v>
      </c>
      <c r="H19" s="3">
        <v>115</v>
      </c>
      <c r="I19" s="3">
        <v>97</v>
      </c>
      <c r="J19" s="3">
        <f t="shared" si="1"/>
        <v>18</v>
      </c>
      <c r="K19" s="3">
        <v>0</v>
      </c>
      <c r="L19" s="3">
        <v>0</v>
      </c>
    </row>
    <row r="20" spans="1:12" ht="20.100000000000001" customHeight="1">
      <c r="A20" s="3">
        <v>17</v>
      </c>
      <c r="B20" s="4" t="s">
        <v>28</v>
      </c>
      <c r="C20" s="3">
        <v>11</v>
      </c>
      <c r="D20" s="3">
        <v>1</v>
      </c>
      <c r="E20" s="3">
        <v>7</v>
      </c>
      <c r="F20" s="3">
        <v>4</v>
      </c>
      <c r="G20" s="5">
        <f t="shared" si="0"/>
        <v>0.63636363636363635</v>
      </c>
      <c r="H20" s="3">
        <v>111</v>
      </c>
      <c r="I20" s="3">
        <v>97</v>
      </c>
      <c r="J20" s="3">
        <f t="shared" si="1"/>
        <v>14</v>
      </c>
      <c r="K20" s="3">
        <v>0</v>
      </c>
      <c r="L20" s="3">
        <v>0</v>
      </c>
    </row>
    <row r="21" spans="1:12" ht="20.100000000000001" customHeight="1">
      <c r="A21" s="3">
        <v>18</v>
      </c>
      <c r="B21" s="4" t="s">
        <v>29</v>
      </c>
      <c r="C21" s="3">
        <v>11</v>
      </c>
      <c r="D21" s="3">
        <v>1</v>
      </c>
      <c r="E21" s="3">
        <v>7</v>
      </c>
      <c r="F21" s="3">
        <v>4</v>
      </c>
      <c r="G21" s="5">
        <f t="shared" si="0"/>
        <v>0.63636363636363635</v>
      </c>
      <c r="H21" s="3">
        <v>125</v>
      </c>
      <c r="I21" s="3">
        <v>112</v>
      </c>
      <c r="J21" s="3">
        <f t="shared" si="1"/>
        <v>13</v>
      </c>
      <c r="K21" s="11">
        <v>1</v>
      </c>
      <c r="L21" s="3">
        <v>0</v>
      </c>
    </row>
    <row r="22" spans="1:12" ht="20.100000000000001" customHeight="1">
      <c r="A22" s="3">
        <v>19</v>
      </c>
      <c r="B22" s="4" t="s">
        <v>30</v>
      </c>
      <c r="C22" s="3">
        <v>11</v>
      </c>
      <c r="D22" s="3">
        <v>1</v>
      </c>
      <c r="E22" s="3">
        <v>7</v>
      </c>
      <c r="F22" s="3">
        <v>4</v>
      </c>
      <c r="G22" s="5">
        <f t="shared" si="0"/>
        <v>0.63636363636363635</v>
      </c>
      <c r="H22" s="3">
        <v>116</v>
      </c>
      <c r="I22" s="3">
        <v>105</v>
      </c>
      <c r="J22" s="3">
        <f t="shared" si="1"/>
        <v>11</v>
      </c>
      <c r="K22" s="3">
        <v>0</v>
      </c>
      <c r="L22" s="3">
        <v>0</v>
      </c>
    </row>
    <row r="23" spans="1:12" ht="20.100000000000001" customHeight="1">
      <c r="A23" s="3">
        <v>20</v>
      </c>
      <c r="B23" s="4" t="s">
        <v>31</v>
      </c>
      <c r="C23" s="3">
        <v>11</v>
      </c>
      <c r="D23" s="3">
        <v>1</v>
      </c>
      <c r="E23" s="3">
        <v>7</v>
      </c>
      <c r="F23" s="3">
        <v>4</v>
      </c>
      <c r="G23" s="5">
        <f t="shared" si="0"/>
        <v>0.63636363636363635</v>
      </c>
      <c r="H23" s="3">
        <v>111</v>
      </c>
      <c r="I23" s="3">
        <v>104</v>
      </c>
      <c r="J23" s="3">
        <f t="shared" si="1"/>
        <v>7</v>
      </c>
      <c r="K23" s="3">
        <v>0</v>
      </c>
      <c r="L23" s="3">
        <v>0</v>
      </c>
    </row>
    <row r="24" spans="1:12" ht="20.100000000000001" customHeight="1">
      <c r="A24" s="3">
        <v>21</v>
      </c>
      <c r="B24" s="4" t="s">
        <v>32</v>
      </c>
      <c r="C24" s="3">
        <v>11</v>
      </c>
      <c r="D24" s="3">
        <v>1</v>
      </c>
      <c r="E24" s="3">
        <v>7</v>
      </c>
      <c r="F24" s="3">
        <v>4</v>
      </c>
      <c r="G24" s="5">
        <f t="shared" si="0"/>
        <v>0.63636363636363635</v>
      </c>
      <c r="H24" s="3">
        <v>110</v>
      </c>
      <c r="I24" s="3">
        <v>108</v>
      </c>
      <c r="J24" s="3">
        <f t="shared" si="1"/>
        <v>2</v>
      </c>
      <c r="K24" s="3">
        <v>0</v>
      </c>
      <c r="L24" s="3">
        <v>0</v>
      </c>
    </row>
    <row r="25" spans="1:12" ht="20.100000000000001" customHeight="1">
      <c r="A25" s="3">
        <v>22</v>
      </c>
      <c r="B25" s="4" t="s">
        <v>33</v>
      </c>
      <c r="C25" s="3">
        <v>21</v>
      </c>
      <c r="D25" s="3">
        <v>2</v>
      </c>
      <c r="E25" s="3">
        <v>13</v>
      </c>
      <c r="F25" s="3">
        <v>8</v>
      </c>
      <c r="G25" s="5">
        <f t="shared" si="0"/>
        <v>0.61904761904761907</v>
      </c>
      <c r="H25" s="3">
        <v>207</v>
      </c>
      <c r="I25" s="3">
        <v>183</v>
      </c>
      <c r="J25" s="3">
        <f t="shared" si="1"/>
        <v>24</v>
      </c>
      <c r="K25" s="11">
        <v>1</v>
      </c>
      <c r="L25" s="3">
        <v>0</v>
      </c>
    </row>
    <row r="26" spans="1:12" ht="20.100000000000001" customHeight="1">
      <c r="A26" s="3">
        <v>23</v>
      </c>
      <c r="B26" s="4" t="s">
        <v>34</v>
      </c>
      <c r="C26" s="3">
        <v>31</v>
      </c>
      <c r="D26" s="10">
        <v>3</v>
      </c>
      <c r="E26" s="11">
        <v>19</v>
      </c>
      <c r="F26" s="3">
        <v>12</v>
      </c>
      <c r="G26" s="5">
        <f t="shared" si="0"/>
        <v>0.61290322580645162</v>
      </c>
      <c r="H26" s="3">
        <v>314</v>
      </c>
      <c r="I26" s="3">
        <v>277</v>
      </c>
      <c r="J26" s="3">
        <f t="shared" si="1"/>
        <v>37</v>
      </c>
      <c r="K26" s="11">
        <v>1</v>
      </c>
      <c r="L26" s="8">
        <v>1</v>
      </c>
    </row>
    <row r="27" spans="1:12" ht="20.100000000000001" customHeight="1">
      <c r="A27" s="3">
        <v>24</v>
      </c>
      <c r="B27" s="4" t="s">
        <v>35</v>
      </c>
      <c r="C27" s="3">
        <v>10</v>
      </c>
      <c r="D27" s="3">
        <v>1</v>
      </c>
      <c r="E27" s="3">
        <v>6</v>
      </c>
      <c r="F27" s="3">
        <v>4</v>
      </c>
      <c r="G27" s="5">
        <f t="shared" si="0"/>
        <v>0.6</v>
      </c>
      <c r="H27" s="3">
        <v>100</v>
      </c>
      <c r="I27" s="3">
        <v>82</v>
      </c>
      <c r="J27" s="3">
        <f t="shared" si="1"/>
        <v>18</v>
      </c>
      <c r="K27" s="3">
        <v>0</v>
      </c>
      <c r="L27" s="3">
        <v>0</v>
      </c>
    </row>
    <row r="28" spans="1:12" ht="20.100000000000001" customHeight="1">
      <c r="A28" s="3">
        <v>25</v>
      </c>
      <c r="B28" s="4" t="s">
        <v>36</v>
      </c>
      <c r="C28" s="3">
        <v>10</v>
      </c>
      <c r="D28" s="3">
        <v>1</v>
      </c>
      <c r="E28" s="3">
        <v>6</v>
      </c>
      <c r="F28" s="3">
        <v>4</v>
      </c>
      <c r="G28" s="5">
        <f t="shared" si="0"/>
        <v>0.6</v>
      </c>
      <c r="H28" s="3">
        <v>98</v>
      </c>
      <c r="I28" s="3">
        <v>80</v>
      </c>
      <c r="J28" s="3">
        <f t="shared" si="1"/>
        <v>18</v>
      </c>
      <c r="K28" s="11">
        <v>1</v>
      </c>
      <c r="L28" s="3">
        <v>0</v>
      </c>
    </row>
    <row r="29" spans="1:12" ht="20.100000000000001" customHeight="1">
      <c r="A29" s="3">
        <v>26</v>
      </c>
      <c r="B29" s="4" t="s">
        <v>37</v>
      </c>
      <c r="C29" s="3">
        <v>10</v>
      </c>
      <c r="D29" s="3">
        <v>1</v>
      </c>
      <c r="E29" s="3">
        <v>6</v>
      </c>
      <c r="F29" s="3">
        <v>4</v>
      </c>
      <c r="G29" s="5">
        <f t="shared" si="0"/>
        <v>0.6</v>
      </c>
      <c r="H29" s="3">
        <v>92</v>
      </c>
      <c r="I29" s="3">
        <v>79</v>
      </c>
      <c r="J29" s="3">
        <f t="shared" si="1"/>
        <v>13</v>
      </c>
      <c r="K29" s="3">
        <v>0</v>
      </c>
      <c r="L29" s="3">
        <v>0</v>
      </c>
    </row>
    <row r="30" spans="1:12" ht="20.100000000000001" customHeight="1">
      <c r="A30" s="3">
        <v>27</v>
      </c>
      <c r="B30" s="4" t="s">
        <v>38</v>
      </c>
      <c r="C30" s="3">
        <v>10</v>
      </c>
      <c r="D30" s="3">
        <v>1</v>
      </c>
      <c r="E30" s="3">
        <v>6</v>
      </c>
      <c r="F30" s="3">
        <v>4</v>
      </c>
      <c r="G30" s="5">
        <f t="shared" si="0"/>
        <v>0.6</v>
      </c>
      <c r="H30" s="3">
        <v>99</v>
      </c>
      <c r="I30" s="3">
        <v>95</v>
      </c>
      <c r="J30" s="3">
        <f t="shared" si="1"/>
        <v>4</v>
      </c>
      <c r="K30" s="3">
        <v>0</v>
      </c>
      <c r="L30" s="3">
        <v>0</v>
      </c>
    </row>
    <row r="31" spans="1:12" ht="20.100000000000001" customHeight="1">
      <c r="A31" s="3">
        <v>28</v>
      </c>
      <c r="B31" s="4" t="s">
        <v>39</v>
      </c>
      <c r="C31" s="3">
        <v>32</v>
      </c>
      <c r="D31" s="10">
        <v>3</v>
      </c>
      <c r="E31" s="3">
        <v>19</v>
      </c>
      <c r="F31" s="3">
        <v>13</v>
      </c>
      <c r="G31" s="5">
        <f t="shared" si="0"/>
        <v>0.59375</v>
      </c>
      <c r="H31" s="3">
        <v>337</v>
      </c>
      <c r="I31" s="3">
        <v>295</v>
      </c>
      <c r="J31" s="11">
        <f t="shared" si="1"/>
        <v>42</v>
      </c>
      <c r="K31" s="8">
        <v>2</v>
      </c>
      <c r="L31" s="3">
        <v>0</v>
      </c>
    </row>
    <row r="32" spans="1:12" ht="20.100000000000001" customHeight="1">
      <c r="A32" s="3">
        <v>29</v>
      </c>
      <c r="B32" s="4" t="s">
        <v>40</v>
      </c>
      <c r="C32" s="3">
        <v>22</v>
      </c>
      <c r="D32" s="3">
        <v>2</v>
      </c>
      <c r="E32" s="3">
        <v>13</v>
      </c>
      <c r="F32" s="3">
        <v>9</v>
      </c>
      <c r="G32" s="5">
        <f t="shared" si="0"/>
        <v>0.59090909090909094</v>
      </c>
      <c r="H32" s="3">
        <v>199</v>
      </c>
      <c r="I32" s="3">
        <v>187</v>
      </c>
      <c r="J32" s="3">
        <f t="shared" si="1"/>
        <v>12</v>
      </c>
      <c r="K32" s="3">
        <v>0</v>
      </c>
      <c r="L32" s="3">
        <v>0</v>
      </c>
    </row>
    <row r="33" spans="1:12" ht="20.100000000000001" customHeight="1">
      <c r="A33" s="3">
        <v>30</v>
      </c>
      <c r="B33" s="4" t="s">
        <v>41</v>
      </c>
      <c r="C33" s="3">
        <v>22</v>
      </c>
      <c r="D33" s="3">
        <v>2</v>
      </c>
      <c r="E33" s="3">
        <v>13</v>
      </c>
      <c r="F33" s="3">
        <v>9</v>
      </c>
      <c r="G33" s="5">
        <f t="shared" si="0"/>
        <v>0.59090909090909094</v>
      </c>
      <c r="H33" s="3">
        <v>212</v>
      </c>
      <c r="I33" s="3">
        <v>202</v>
      </c>
      <c r="J33" s="3">
        <f t="shared" si="1"/>
        <v>10</v>
      </c>
      <c r="K33" s="3">
        <v>0</v>
      </c>
      <c r="L33" s="3">
        <v>0</v>
      </c>
    </row>
    <row r="34" spans="1:12" ht="20.100000000000001" customHeight="1">
      <c r="A34" s="3">
        <v>31</v>
      </c>
      <c r="B34" s="4" t="s">
        <v>42</v>
      </c>
      <c r="C34" s="10">
        <v>33</v>
      </c>
      <c r="D34" s="10">
        <v>3</v>
      </c>
      <c r="E34" s="11">
        <v>19</v>
      </c>
      <c r="F34" s="3">
        <v>14</v>
      </c>
      <c r="G34" s="5">
        <f t="shared" si="0"/>
        <v>0.5757575757575758</v>
      </c>
      <c r="H34" s="3">
        <v>331</v>
      </c>
      <c r="I34" s="3">
        <v>313</v>
      </c>
      <c r="J34" s="3">
        <f t="shared" si="1"/>
        <v>18</v>
      </c>
      <c r="K34" s="11">
        <v>1</v>
      </c>
      <c r="L34" s="3">
        <v>0</v>
      </c>
    </row>
    <row r="35" spans="1:12" ht="20.100000000000001" customHeight="1">
      <c r="A35" s="3">
        <v>32</v>
      </c>
      <c r="B35" s="4" t="s">
        <v>43</v>
      </c>
      <c r="C35" s="3">
        <v>9</v>
      </c>
      <c r="D35" s="3">
        <v>1</v>
      </c>
      <c r="E35" s="3">
        <v>5</v>
      </c>
      <c r="F35" s="3">
        <v>4</v>
      </c>
      <c r="G35" s="5">
        <f t="shared" si="0"/>
        <v>0.55555555555555558</v>
      </c>
      <c r="H35" s="3">
        <v>97</v>
      </c>
      <c r="I35" s="3">
        <v>92</v>
      </c>
      <c r="J35" s="3">
        <f t="shared" si="1"/>
        <v>5</v>
      </c>
      <c r="K35" s="3">
        <v>0</v>
      </c>
      <c r="L35" s="3">
        <v>0</v>
      </c>
    </row>
    <row r="36" spans="1:12" ht="20.100000000000001" customHeight="1">
      <c r="A36" s="3">
        <v>33</v>
      </c>
      <c r="B36" s="4" t="s">
        <v>44</v>
      </c>
      <c r="C36" s="3">
        <v>31</v>
      </c>
      <c r="D36" s="10">
        <v>3</v>
      </c>
      <c r="E36" s="3">
        <v>17</v>
      </c>
      <c r="F36" s="3">
        <v>14</v>
      </c>
      <c r="G36" s="5">
        <f t="shared" ref="G36:G67" si="2">IF(C36=0,0,E36/C36)</f>
        <v>0.54838709677419351</v>
      </c>
      <c r="H36" s="3">
        <v>312</v>
      </c>
      <c r="I36" s="3">
        <v>295</v>
      </c>
      <c r="J36" s="3">
        <f t="shared" ref="J36:J67" si="3">H36-I36</f>
        <v>17</v>
      </c>
      <c r="K36" s="3">
        <v>0</v>
      </c>
      <c r="L36" s="3">
        <v>0</v>
      </c>
    </row>
    <row r="37" spans="1:12" ht="20.100000000000001" customHeight="1">
      <c r="A37" s="3">
        <v>34</v>
      </c>
      <c r="B37" s="4" t="s">
        <v>45</v>
      </c>
      <c r="C37" s="3">
        <v>22</v>
      </c>
      <c r="D37" s="3">
        <v>2</v>
      </c>
      <c r="E37" s="3">
        <v>12</v>
      </c>
      <c r="F37" s="3">
        <v>10</v>
      </c>
      <c r="G37" s="5">
        <f t="shared" si="2"/>
        <v>0.54545454545454541</v>
      </c>
      <c r="H37" s="3">
        <v>234</v>
      </c>
      <c r="I37" s="3">
        <v>211</v>
      </c>
      <c r="J37" s="3">
        <f t="shared" si="3"/>
        <v>23</v>
      </c>
      <c r="K37" s="11">
        <v>1</v>
      </c>
      <c r="L37" s="3">
        <v>0</v>
      </c>
    </row>
    <row r="38" spans="1:12" ht="20.100000000000001" customHeight="1">
      <c r="A38" s="3">
        <v>35</v>
      </c>
      <c r="B38" s="4" t="s">
        <v>46</v>
      </c>
      <c r="C38" s="3">
        <v>22</v>
      </c>
      <c r="D38" s="3">
        <v>2</v>
      </c>
      <c r="E38" s="3">
        <v>12</v>
      </c>
      <c r="F38" s="3">
        <v>10</v>
      </c>
      <c r="G38" s="5">
        <f t="shared" si="2"/>
        <v>0.54545454545454541</v>
      </c>
      <c r="H38" s="3">
        <v>215</v>
      </c>
      <c r="I38" s="3">
        <v>194</v>
      </c>
      <c r="J38" s="3">
        <f t="shared" si="3"/>
        <v>21</v>
      </c>
      <c r="K38" s="3">
        <v>0</v>
      </c>
      <c r="L38" s="3">
        <v>0</v>
      </c>
    </row>
    <row r="39" spans="1:12" ht="20.100000000000001" customHeight="1">
      <c r="A39" s="3">
        <v>36</v>
      </c>
      <c r="B39" s="4" t="s">
        <v>47</v>
      </c>
      <c r="C39" s="3">
        <v>22</v>
      </c>
      <c r="D39" s="3">
        <v>2</v>
      </c>
      <c r="E39" s="3">
        <v>12</v>
      </c>
      <c r="F39" s="3">
        <v>10</v>
      </c>
      <c r="G39" s="5">
        <f t="shared" si="2"/>
        <v>0.54545454545454541</v>
      </c>
      <c r="H39" s="3">
        <v>222</v>
      </c>
      <c r="I39" s="3">
        <v>202</v>
      </c>
      <c r="J39" s="3">
        <f t="shared" si="3"/>
        <v>20</v>
      </c>
      <c r="K39" s="11">
        <v>1</v>
      </c>
      <c r="L39" s="3">
        <v>0</v>
      </c>
    </row>
    <row r="40" spans="1:12" ht="20.100000000000001" customHeight="1">
      <c r="A40" s="3">
        <v>37</v>
      </c>
      <c r="B40" s="4" t="s">
        <v>48</v>
      </c>
      <c r="C40" s="3">
        <v>11</v>
      </c>
      <c r="D40" s="3">
        <v>1</v>
      </c>
      <c r="E40" s="3">
        <v>6</v>
      </c>
      <c r="F40" s="3">
        <v>5</v>
      </c>
      <c r="G40" s="5">
        <f t="shared" si="2"/>
        <v>0.54545454545454541</v>
      </c>
      <c r="H40" s="3">
        <v>122</v>
      </c>
      <c r="I40" s="3">
        <v>108</v>
      </c>
      <c r="J40" s="3">
        <f t="shared" si="3"/>
        <v>14</v>
      </c>
      <c r="K40" s="3">
        <v>0</v>
      </c>
      <c r="L40" s="3">
        <v>0</v>
      </c>
    </row>
    <row r="41" spans="1:12" ht="20.100000000000001" customHeight="1">
      <c r="A41" s="3">
        <v>38</v>
      </c>
      <c r="B41" s="4" t="s">
        <v>49</v>
      </c>
      <c r="C41" s="3">
        <v>11</v>
      </c>
      <c r="D41" s="3">
        <v>1</v>
      </c>
      <c r="E41" s="3">
        <v>6</v>
      </c>
      <c r="F41" s="3">
        <v>5</v>
      </c>
      <c r="G41" s="5">
        <f t="shared" si="2"/>
        <v>0.54545454545454541</v>
      </c>
      <c r="H41" s="3">
        <v>114</v>
      </c>
      <c r="I41" s="3">
        <v>104</v>
      </c>
      <c r="J41" s="3">
        <f t="shared" si="3"/>
        <v>10</v>
      </c>
      <c r="K41" s="3">
        <v>0</v>
      </c>
      <c r="L41" s="3">
        <v>0</v>
      </c>
    </row>
    <row r="42" spans="1:12" ht="20.100000000000001" customHeight="1">
      <c r="A42" s="3">
        <v>39</v>
      </c>
      <c r="B42" s="4" t="s">
        <v>50</v>
      </c>
      <c r="C42" s="3">
        <v>11</v>
      </c>
      <c r="D42" s="3">
        <v>1</v>
      </c>
      <c r="E42" s="3">
        <v>6</v>
      </c>
      <c r="F42" s="3">
        <v>5</v>
      </c>
      <c r="G42" s="5">
        <f t="shared" si="2"/>
        <v>0.54545454545454541</v>
      </c>
      <c r="H42" s="3">
        <v>113</v>
      </c>
      <c r="I42" s="3">
        <v>103</v>
      </c>
      <c r="J42" s="3">
        <f t="shared" si="3"/>
        <v>10</v>
      </c>
      <c r="K42" s="3">
        <v>0</v>
      </c>
      <c r="L42" s="3">
        <v>0</v>
      </c>
    </row>
    <row r="43" spans="1:12" ht="20.100000000000001" customHeight="1">
      <c r="A43" s="3">
        <v>40</v>
      </c>
      <c r="B43" s="4" t="s">
        <v>51</v>
      </c>
      <c r="C43" s="3">
        <v>22</v>
      </c>
      <c r="D43" s="3">
        <v>2</v>
      </c>
      <c r="E43" s="3">
        <v>12</v>
      </c>
      <c r="F43" s="3">
        <v>10</v>
      </c>
      <c r="G43" s="5">
        <f t="shared" si="2"/>
        <v>0.54545454545454541</v>
      </c>
      <c r="H43" s="3">
        <v>216</v>
      </c>
      <c r="I43" s="3">
        <v>214</v>
      </c>
      <c r="J43" s="3">
        <f t="shared" si="3"/>
        <v>2</v>
      </c>
      <c r="K43" s="3">
        <v>0</v>
      </c>
      <c r="L43" s="3">
        <v>0</v>
      </c>
    </row>
    <row r="44" spans="1:12" ht="20.100000000000001" customHeight="1">
      <c r="A44" s="3">
        <v>41</v>
      </c>
      <c r="B44" s="4" t="s">
        <v>52</v>
      </c>
      <c r="C44" s="3">
        <v>11</v>
      </c>
      <c r="D44" s="3">
        <v>1</v>
      </c>
      <c r="E44" s="3">
        <v>6</v>
      </c>
      <c r="F44" s="3">
        <v>5</v>
      </c>
      <c r="G44" s="5">
        <f t="shared" si="2"/>
        <v>0.54545454545454541</v>
      </c>
      <c r="H44" s="3">
        <v>114</v>
      </c>
      <c r="I44" s="3">
        <v>115</v>
      </c>
      <c r="J44" s="3">
        <f t="shared" si="3"/>
        <v>-1</v>
      </c>
      <c r="K44" s="3">
        <v>0</v>
      </c>
      <c r="L44" s="3">
        <v>0</v>
      </c>
    </row>
    <row r="45" spans="1:12" ht="20.100000000000001" customHeight="1">
      <c r="A45" s="3">
        <v>42</v>
      </c>
      <c r="B45" s="4" t="s">
        <v>53</v>
      </c>
      <c r="C45" s="3">
        <v>11</v>
      </c>
      <c r="D45" s="3">
        <v>1</v>
      </c>
      <c r="E45" s="3">
        <v>6</v>
      </c>
      <c r="F45" s="3">
        <v>5</v>
      </c>
      <c r="G45" s="5">
        <f t="shared" si="2"/>
        <v>0.54545454545454541</v>
      </c>
      <c r="H45" s="3">
        <v>111</v>
      </c>
      <c r="I45" s="3">
        <v>114</v>
      </c>
      <c r="J45" s="3">
        <f t="shared" si="3"/>
        <v>-3</v>
      </c>
      <c r="K45" s="3">
        <v>0</v>
      </c>
      <c r="L45" s="3">
        <v>0</v>
      </c>
    </row>
    <row r="46" spans="1:12" ht="20.100000000000001" customHeight="1">
      <c r="A46" s="3">
        <v>43</v>
      </c>
      <c r="B46" s="4" t="s">
        <v>54</v>
      </c>
      <c r="C46" s="8">
        <v>43</v>
      </c>
      <c r="D46" s="8">
        <v>4</v>
      </c>
      <c r="E46" s="8">
        <v>22</v>
      </c>
      <c r="F46" s="3">
        <v>21</v>
      </c>
      <c r="G46" s="5">
        <f t="shared" si="2"/>
        <v>0.51162790697674421</v>
      </c>
      <c r="H46" s="3">
        <v>411</v>
      </c>
      <c r="I46" s="3">
        <v>420</v>
      </c>
      <c r="J46" s="3">
        <f t="shared" si="3"/>
        <v>-9</v>
      </c>
      <c r="K46" s="11">
        <v>1</v>
      </c>
      <c r="L46" s="8">
        <v>1</v>
      </c>
    </row>
    <row r="47" spans="1:12" ht="20.100000000000001" customHeight="1">
      <c r="A47" s="3">
        <v>44</v>
      </c>
      <c r="B47" s="4" t="s">
        <v>55</v>
      </c>
      <c r="C47" s="3">
        <v>10</v>
      </c>
      <c r="D47" s="3">
        <v>1</v>
      </c>
      <c r="E47" s="3">
        <v>5</v>
      </c>
      <c r="F47" s="3">
        <v>5</v>
      </c>
      <c r="G47" s="5">
        <f t="shared" si="2"/>
        <v>0.5</v>
      </c>
      <c r="H47" s="3">
        <v>93</v>
      </c>
      <c r="I47" s="3">
        <v>80</v>
      </c>
      <c r="J47" s="3">
        <f t="shared" si="3"/>
        <v>13</v>
      </c>
      <c r="K47" s="3">
        <v>0</v>
      </c>
      <c r="L47" s="3">
        <v>0</v>
      </c>
    </row>
    <row r="48" spans="1:12" ht="20.100000000000001" customHeight="1">
      <c r="A48" s="3">
        <v>45</v>
      </c>
      <c r="B48" s="4" t="s">
        <v>56</v>
      </c>
      <c r="C48" s="3">
        <v>10</v>
      </c>
      <c r="D48" s="3">
        <v>1</v>
      </c>
      <c r="E48" s="3">
        <v>5</v>
      </c>
      <c r="F48" s="3">
        <v>5</v>
      </c>
      <c r="G48" s="5">
        <f t="shared" si="2"/>
        <v>0.5</v>
      </c>
      <c r="H48" s="3">
        <v>97</v>
      </c>
      <c r="I48" s="3">
        <v>91</v>
      </c>
      <c r="J48" s="3">
        <f t="shared" si="3"/>
        <v>6</v>
      </c>
      <c r="K48" s="3">
        <v>0</v>
      </c>
      <c r="L48" s="3">
        <v>0</v>
      </c>
    </row>
    <row r="49" spans="1:12" ht="20.100000000000001" customHeight="1">
      <c r="A49" s="3">
        <v>46</v>
      </c>
      <c r="B49" s="4" t="s">
        <v>57</v>
      </c>
      <c r="C49" s="3">
        <v>2</v>
      </c>
      <c r="D49" s="3">
        <v>1</v>
      </c>
      <c r="E49" s="3">
        <v>1</v>
      </c>
      <c r="F49" s="3">
        <v>1</v>
      </c>
      <c r="G49" s="5">
        <f t="shared" si="2"/>
        <v>0.5</v>
      </c>
      <c r="H49" s="3">
        <v>23</v>
      </c>
      <c r="I49" s="3">
        <v>21</v>
      </c>
      <c r="J49" s="3">
        <f t="shared" si="3"/>
        <v>2</v>
      </c>
      <c r="K49" s="3">
        <v>0</v>
      </c>
      <c r="L49" s="3">
        <v>0</v>
      </c>
    </row>
    <row r="50" spans="1:12" ht="20.100000000000001" customHeight="1">
      <c r="A50" s="3">
        <v>47</v>
      </c>
      <c r="B50" s="4" t="s">
        <v>58</v>
      </c>
      <c r="C50" s="3">
        <v>10</v>
      </c>
      <c r="D50" s="3">
        <v>1</v>
      </c>
      <c r="E50" s="3">
        <v>5</v>
      </c>
      <c r="F50" s="3">
        <v>5</v>
      </c>
      <c r="G50" s="5">
        <f t="shared" si="2"/>
        <v>0.5</v>
      </c>
      <c r="H50" s="3">
        <v>102</v>
      </c>
      <c r="I50" s="3">
        <v>103</v>
      </c>
      <c r="J50" s="3">
        <f t="shared" si="3"/>
        <v>-1</v>
      </c>
      <c r="K50" s="3">
        <v>0</v>
      </c>
      <c r="L50" s="3">
        <v>0</v>
      </c>
    </row>
    <row r="51" spans="1:12" ht="20.100000000000001" customHeight="1">
      <c r="A51" s="3">
        <v>48</v>
      </c>
      <c r="B51" s="4" t="s">
        <v>59</v>
      </c>
      <c r="C51" s="3">
        <v>10</v>
      </c>
      <c r="D51" s="3">
        <v>1</v>
      </c>
      <c r="E51" s="3">
        <v>5</v>
      </c>
      <c r="F51" s="3">
        <v>5</v>
      </c>
      <c r="G51" s="5">
        <f t="shared" si="2"/>
        <v>0.5</v>
      </c>
      <c r="H51" s="3">
        <v>82</v>
      </c>
      <c r="I51" s="3">
        <v>83</v>
      </c>
      <c r="J51" s="3">
        <f t="shared" si="3"/>
        <v>-1</v>
      </c>
      <c r="K51" s="3">
        <v>0</v>
      </c>
      <c r="L51" s="3">
        <v>0</v>
      </c>
    </row>
    <row r="52" spans="1:12" ht="20.100000000000001" customHeight="1">
      <c r="A52" s="3">
        <v>49</v>
      </c>
      <c r="B52" s="4" t="s">
        <v>60</v>
      </c>
      <c r="C52" s="3">
        <v>22</v>
      </c>
      <c r="D52" s="3">
        <v>2</v>
      </c>
      <c r="E52" s="3">
        <v>11</v>
      </c>
      <c r="F52" s="3">
        <v>11</v>
      </c>
      <c r="G52" s="5">
        <f t="shared" si="2"/>
        <v>0.5</v>
      </c>
      <c r="H52" s="3">
        <v>221</v>
      </c>
      <c r="I52" s="3">
        <v>231</v>
      </c>
      <c r="J52" s="3">
        <f t="shared" si="3"/>
        <v>-10</v>
      </c>
      <c r="K52" s="3">
        <v>0</v>
      </c>
      <c r="L52" s="3">
        <v>0</v>
      </c>
    </row>
    <row r="53" spans="1:12" ht="20.100000000000001" customHeight="1">
      <c r="A53" s="3">
        <v>50</v>
      </c>
      <c r="B53" s="4" t="s">
        <v>61</v>
      </c>
      <c r="C53" s="3">
        <v>21</v>
      </c>
      <c r="D53" s="3">
        <v>2</v>
      </c>
      <c r="E53" s="3">
        <v>10</v>
      </c>
      <c r="F53" s="3">
        <v>11</v>
      </c>
      <c r="G53" s="5">
        <f t="shared" si="2"/>
        <v>0.47619047619047616</v>
      </c>
      <c r="H53" s="3">
        <v>193</v>
      </c>
      <c r="I53" s="3">
        <v>187</v>
      </c>
      <c r="J53" s="3">
        <f t="shared" si="3"/>
        <v>6</v>
      </c>
      <c r="K53" s="3">
        <v>0</v>
      </c>
      <c r="L53" s="3">
        <v>0</v>
      </c>
    </row>
    <row r="54" spans="1:12" ht="20.100000000000001" customHeight="1">
      <c r="A54" s="3">
        <v>51</v>
      </c>
      <c r="B54" s="4" t="s">
        <v>62</v>
      </c>
      <c r="C54" s="3">
        <v>21</v>
      </c>
      <c r="D54" s="3">
        <v>2</v>
      </c>
      <c r="E54" s="3">
        <v>10</v>
      </c>
      <c r="F54" s="3">
        <v>11</v>
      </c>
      <c r="G54" s="5">
        <f t="shared" si="2"/>
        <v>0.47619047619047616</v>
      </c>
      <c r="H54" s="3">
        <v>194</v>
      </c>
      <c r="I54" s="3">
        <v>204</v>
      </c>
      <c r="J54" s="3">
        <f t="shared" si="3"/>
        <v>-10</v>
      </c>
      <c r="K54" s="3">
        <v>0</v>
      </c>
      <c r="L54" s="3">
        <v>0</v>
      </c>
    </row>
    <row r="55" spans="1:12" ht="20.100000000000001" customHeight="1">
      <c r="A55" s="3">
        <v>52</v>
      </c>
      <c r="B55" s="4" t="s">
        <v>63</v>
      </c>
      <c r="C55" s="3">
        <v>13</v>
      </c>
      <c r="D55" s="3">
        <v>2</v>
      </c>
      <c r="E55" s="3">
        <v>6</v>
      </c>
      <c r="F55" s="3">
        <v>7</v>
      </c>
      <c r="G55" s="5">
        <f t="shared" si="2"/>
        <v>0.46153846153846156</v>
      </c>
      <c r="H55" s="3">
        <v>129</v>
      </c>
      <c r="I55" s="3">
        <v>119</v>
      </c>
      <c r="J55" s="3">
        <f t="shared" si="3"/>
        <v>10</v>
      </c>
      <c r="K55" s="3">
        <v>0</v>
      </c>
      <c r="L55" s="3">
        <v>0</v>
      </c>
    </row>
    <row r="56" spans="1:12" ht="20.100000000000001" customHeight="1">
      <c r="A56" s="3">
        <v>53</v>
      </c>
      <c r="B56" s="4" t="s">
        <v>64</v>
      </c>
      <c r="C56" s="3">
        <v>11</v>
      </c>
      <c r="D56" s="3">
        <v>1</v>
      </c>
      <c r="E56" s="3">
        <v>5</v>
      </c>
      <c r="F56" s="3">
        <v>6</v>
      </c>
      <c r="G56" s="5">
        <f t="shared" si="2"/>
        <v>0.45454545454545453</v>
      </c>
      <c r="H56" s="3">
        <v>104</v>
      </c>
      <c r="I56" s="3">
        <v>104</v>
      </c>
      <c r="J56" s="3">
        <f t="shared" si="3"/>
        <v>0</v>
      </c>
      <c r="K56" s="3">
        <v>0</v>
      </c>
      <c r="L56" s="3">
        <v>0</v>
      </c>
    </row>
    <row r="57" spans="1:12" ht="20.100000000000001" customHeight="1">
      <c r="A57" s="3">
        <v>54</v>
      </c>
      <c r="B57" s="4" t="s">
        <v>65</v>
      </c>
      <c r="C57" s="3">
        <v>11</v>
      </c>
      <c r="D57" s="3">
        <v>1</v>
      </c>
      <c r="E57" s="3">
        <v>5</v>
      </c>
      <c r="F57" s="3">
        <v>6</v>
      </c>
      <c r="G57" s="5">
        <f t="shared" si="2"/>
        <v>0.45454545454545453</v>
      </c>
      <c r="H57" s="3">
        <v>111</v>
      </c>
      <c r="I57" s="3">
        <v>112</v>
      </c>
      <c r="J57" s="3">
        <f t="shared" si="3"/>
        <v>-1</v>
      </c>
      <c r="K57" s="3">
        <v>0</v>
      </c>
      <c r="L57" s="3">
        <v>0</v>
      </c>
    </row>
    <row r="58" spans="1:12" ht="20.100000000000001" customHeight="1">
      <c r="A58" s="3">
        <v>55</v>
      </c>
      <c r="B58" s="4" t="s">
        <v>66</v>
      </c>
      <c r="C58" s="3">
        <v>11</v>
      </c>
      <c r="D58" s="3">
        <v>1</v>
      </c>
      <c r="E58" s="3">
        <v>5</v>
      </c>
      <c r="F58" s="3">
        <v>6</v>
      </c>
      <c r="G58" s="5">
        <f t="shared" si="2"/>
        <v>0.45454545454545453</v>
      </c>
      <c r="H58" s="3">
        <v>100</v>
      </c>
      <c r="I58" s="3">
        <v>101</v>
      </c>
      <c r="J58" s="3">
        <f t="shared" si="3"/>
        <v>-1</v>
      </c>
      <c r="K58" s="3">
        <v>0</v>
      </c>
      <c r="L58" s="3">
        <v>0</v>
      </c>
    </row>
    <row r="59" spans="1:12" ht="20.100000000000001" customHeight="1">
      <c r="A59" s="3">
        <v>56</v>
      </c>
      <c r="B59" s="4" t="s">
        <v>67</v>
      </c>
      <c r="C59" s="3">
        <v>11</v>
      </c>
      <c r="D59" s="3">
        <v>1</v>
      </c>
      <c r="E59" s="3">
        <v>5</v>
      </c>
      <c r="F59" s="3">
        <v>6</v>
      </c>
      <c r="G59" s="5">
        <f t="shared" si="2"/>
        <v>0.45454545454545453</v>
      </c>
      <c r="H59" s="3">
        <v>110</v>
      </c>
      <c r="I59" s="3">
        <v>115</v>
      </c>
      <c r="J59" s="3">
        <f t="shared" si="3"/>
        <v>-5</v>
      </c>
      <c r="K59" s="3">
        <v>0</v>
      </c>
      <c r="L59" s="3">
        <v>0</v>
      </c>
    </row>
    <row r="60" spans="1:12" ht="20.100000000000001" customHeight="1">
      <c r="A60" s="3">
        <v>57</v>
      </c>
      <c r="B60" s="4" t="s">
        <v>68</v>
      </c>
      <c r="C60" s="3">
        <v>22</v>
      </c>
      <c r="D60" s="3">
        <v>2</v>
      </c>
      <c r="E60" s="3">
        <v>10</v>
      </c>
      <c r="F60" s="3">
        <v>12</v>
      </c>
      <c r="G60" s="5">
        <f t="shared" si="2"/>
        <v>0.45454545454545453</v>
      </c>
      <c r="H60" s="3">
        <v>221</v>
      </c>
      <c r="I60" s="3">
        <v>228</v>
      </c>
      <c r="J60" s="3">
        <f t="shared" si="3"/>
        <v>-7</v>
      </c>
      <c r="K60" s="3">
        <v>0</v>
      </c>
      <c r="L60" s="3">
        <v>0</v>
      </c>
    </row>
    <row r="61" spans="1:12" ht="20.100000000000001" customHeight="1">
      <c r="A61" s="3">
        <v>58</v>
      </c>
      <c r="B61" s="4" t="s">
        <v>69</v>
      </c>
      <c r="C61" s="3">
        <v>11</v>
      </c>
      <c r="D61" s="3">
        <v>1</v>
      </c>
      <c r="E61" s="3">
        <v>5</v>
      </c>
      <c r="F61" s="3">
        <v>6</v>
      </c>
      <c r="G61" s="5">
        <f t="shared" si="2"/>
        <v>0.45454545454545453</v>
      </c>
      <c r="H61" s="3">
        <v>114</v>
      </c>
      <c r="I61" s="3">
        <v>122</v>
      </c>
      <c r="J61" s="3">
        <f t="shared" si="3"/>
        <v>-8</v>
      </c>
      <c r="K61" s="3">
        <v>0</v>
      </c>
      <c r="L61" s="3">
        <v>0</v>
      </c>
    </row>
    <row r="62" spans="1:12" ht="20.100000000000001" customHeight="1">
      <c r="A62" s="3">
        <v>59</v>
      </c>
      <c r="B62" s="4" t="s">
        <v>70</v>
      </c>
      <c r="C62" s="10">
        <v>33</v>
      </c>
      <c r="D62" s="3">
        <v>3</v>
      </c>
      <c r="E62" s="3">
        <v>15</v>
      </c>
      <c r="F62" s="3">
        <v>18</v>
      </c>
      <c r="G62" s="5">
        <f t="shared" si="2"/>
        <v>0.45454545454545453</v>
      </c>
      <c r="H62" s="3">
        <v>307</v>
      </c>
      <c r="I62" s="3">
        <v>317</v>
      </c>
      <c r="J62" s="3">
        <f t="shared" si="3"/>
        <v>-10</v>
      </c>
      <c r="K62" s="3">
        <v>0</v>
      </c>
      <c r="L62" s="3">
        <v>0</v>
      </c>
    </row>
    <row r="63" spans="1:12" ht="20.100000000000001" customHeight="1">
      <c r="A63" s="3">
        <v>60</v>
      </c>
      <c r="B63" s="4" t="s">
        <v>71</v>
      </c>
      <c r="C63" s="3">
        <v>22</v>
      </c>
      <c r="D63" s="3">
        <v>2</v>
      </c>
      <c r="E63" s="3">
        <v>9</v>
      </c>
      <c r="F63" s="3">
        <v>13</v>
      </c>
      <c r="G63" s="5">
        <f t="shared" si="2"/>
        <v>0.40909090909090912</v>
      </c>
      <c r="H63" s="3">
        <v>202</v>
      </c>
      <c r="I63" s="3">
        <v>212</v>
      </c>
      <c r="J63" s="3">
        <f t="shared" si="3"/>
        <v>-10</v>
      </c>
      <c r="K63" s="3">
        <v>0</v>
      </c>
      <c r="L63" s="3">
        <v>0</v>
      </c>
    </row>
    <row r="64" spans="1:12" ht="20.100000000000001" customHeight="1">
      <c r="A64" s="3">
        <v>61</v>
      </c>
      <c r="B64" s="4" t="s">
        <v>72</v>
      </c>
      <c r="C64" s="3">
        <v>22</v>
      </c>
      <c r="D64" s="3">
        <v>2</v>
      </c>
      <c r="E64" s="3">
        <v>9</v>
      </c>
      <c r="F64" s="3">
        <v>13</v>
      </c>
      <c r="G64" s="5">
        <f t="shared" si="2"/>
        <v>0.40909090909090912</v>
      </c>
      <c r="H64" s="3">
        <v>205</v>
      </c>
      <c r="I64" s="3">
        <v>229</v>
      </c>
      <c r="J64" s="3">
        <f t="shared" si="3"/>
        <v>-24</v>
      </c>
      <c r="K64" s="3">
        <v>0</v>
      </c>
      <c r="L64" s="3">
        <v>0</v>
      </c>
    </row>
    <row r="65" spans="1:12" ht="20.100000000000001" customHeight="1">
      <c r="A65" s="3">
        <v>62</v>
      </c>
      <c r="B65" s="4" t="s">
        <v>73</v>
      </c>
      <c r="C65" s="3">
        <v>10</v>
      </c>
      <c r="D65" s="3">
        <v>1</v>
      </c>
      <c r="E65" s="3">
        <v>4</v>
      </c>
      <c r="F65" s="3">
        <v>6</v>
      </c>
      <c r="G65" s="5">
        <f t="shared" si="2"/>
        <v>0.4</v>
      </c>
      <c r="H65" s="3">
        <v>94</v>
      </c>
      <c r="I65" s="3">
        <v>101</v>
      </c>
      <c r="J65" s="3">
        <f t="shared" si="3"/>
        <v>-7</v>
      </c>
      <c r="K65" s="3">
        <v>0</v>
      </c>
      <c r="L65" s="3">
        <v>0</v>
      </c>
    </row>
    <row r="66" spans="1:12" ht="20.100000000000001" customHeight="1">
      <c r="A66" s="3">
        <v>63</v>
      </c>
      <c r="B66" s="4" t="s">
        <v>74</v>
      </c>
      <c r="C66" s="3">
        <v>10</v>
      </c>
      <c r="D66" s="3">
        <v>1</v>
      </c>
      <c r="E66" s="3">
        <v>4</v>
      </c>
      <c r="F66" s="3">
        <v>6</v>
      </c>
      <c r="G66" s="5">
        <f t="shared" si="2"/>
        <v>0.4</v>
      </c>
      <c r="H66" s="3">
        <v>95</v>
      </c>
      <c r="I66" s="3">
        <v>105</v>
      </c>
      <c r="J66" s="3">
        <f t="shared" si="3"/>
        <v>-10</v>
      </c>
      <c r="K66" s="3">
        <v>0</v>
      </c>
      <c r="L66" s="3">
        <v>0</v>
      </c>
    </row>
    <row r="67" spans="1:12" ht="20.100000000000001" customHeight="1">
      <c r="A67" s="3">
        <v>64</v>
      </c>
      <c r="B67" s="4" t="s">
        <v>75</v>
      </c>
      <c r="C67" s="3">
        <v>10</v>
      </c>
      <c r="D67" s="3">
        <v>1</v>
      </c>
      <c r="E67" s="3">
        <v>4</v>
      </c>
      <c r="F67" s="3">
        <v>6</v>
      </c>
      <c r="G67" s="5">
        <f t="shared" si="2"/>
        <v>0.4</v>
      </c>
      <c r="H67" s="3">
        <v>88</v>
      </c>
      <c r="I67" s="3">
        <v>99</v>
      </c>
      <c r="J67" s="3">
        <f t="shared" si="3"/>
        <v>-11</v>
      </c>
      <c r="K67" s="3">
        <v>0</v>
      </c>
      <c r="L67" s="3">
        <v>0</v>
      </c>
    </row>
    <row r="68" spans="1:12" ht="20.100000000000001" customHeight="1">
      <c r="A68" s="3">
        <v>65</v>
      </c>
      <c r="B68" s="4" t="s">
        <v>76</v>
      </c>
      <c r="C68" s="3">
        <v>10</v>
      </c>
      <c r="D68" s="3">
        <v>1</v>
      </c>
      <c r="E68" s="3">
        <v>4</v>
      </c>
      <c r="F68" s="3">
        <v>6</v>
      </c>
      <c r="G68" s="5">
        <f t="shared" ref="G68:G89" si="4">IF(C68=0,0,E68/C68)</f>
        <v>0.4</v>
      </c>
      <c r="H68" s="3">
        <v>84</v>
      </c>
      <c r="I68" s="3">
        <v>98</v>
      </c>
      <c r="J68" s="3">
        <f t="shared" ref="J68:J99" si="5">H68-I68</f>
        <v>-14</v>
      </c>
      <c r="K68" s="3">
        <v>0</v>
      </c>
      <c r="L68" s="3">
        <v>0</v>
      </c>
    </row>
    <row r="69" spans="1:12" ht="20.100000000000001" customHeight="1">
      <c r="A69" s="3">
        <v>66</v>
      </c>
      <c r="B69" s="4" t="s">
        <v>77</v>
      </c>
      <c r="C69" s="3">
        <v>10</v>
      </c>
      <c r="D69" s="3">
        <v>1</v>
      </c>
      <c r="E69" s="3">
        <v>4</v>
      </c>
      <c r="F69" s="3">
        <v>6</v>
      </c>
      <c r="G69" s="5">
        <f t="shared" si="4"/>
        <v>0.4</v>
      </c>
      <c r="H69" s="3">
        <v>83</v>
      </c>
      <c r="I69" s="3">
        <v>100</v>
      </c>
      <c r="J69" s="3">
        <f t="shared" si="5"/>
        <v>-17</v>
      </c>
      <c r="K69" s="3">
        <v>0</v>
      </c>
      <c r="L69" s="3">
        <v>0</v>
      </c>
    </row>
    <row r="70" spans="1:12" ht="20.100000000000001" customHeight="1">
      <c r="A70" s="3">
        <v>67</v>
      </c>
      <c r="B70" s="4" t="s">
        <v>78</v>
      </c>
      <c r="C70" s="3">
        <v>21</v>
      </c>
      <c r="D70" s="3">
        <v>2</v>
      </c>
      <c r="E70" s="3">
        <v>8</v>
      </c>
      <c r="F70" s="3">
        <v>13</v>
      </c>
      <c r="G70" s="5">
        <f t="shared" si="4"/>
        <v>0.38095238095238093</v>
      </c>
      <c r="H70" s="3">
        <v>175</v>
      </c>
      <c r="I70" s="3">
        <v>205</v>
      </c>
      <c r="J70" s="3">
        <f t="shared" si="5"/>
        <v>-30</v>
      </c>
      <c r="K70" s="3">
        <v>0</v>
      </c>
      <c r="L70" s="3">
        <v>0</v>
      </c>
    </row>
    <row r="71" spans="1:12" ht="20.100000000000001" customHeight="1">
      <c r="A71" s="3">
        <v>68</v>
      </c>
      <c r="B71" s="4" t="s">
        <v>79</v>
      </c>
      <c r="C71" s="3">
        <v>32</v>
      </c>
      <c r="D71" s="3">
        <v>3</v>
      </c>
      <c r="E71" s="3">
        <v>12</v>
      </c>
      <c r="F71" s="3">
        <v>20</v>
      </c>
      <c r="G71" s="5">
        <f t="shared" si="4"/>
        <v>0.375</v>
      </c>
      <c r="H71" s="3">
        <v>303</v>
      </c>
      <c r="I71" s="3">
        <v>333</v>
      </c>
      <c r="J71" s="3">
        <f t="shared" si="5"/>
        <v>-30</v>
      </c>
      <c r="K71" s="3">
        <v>0</v>
      </c>
      <c r="L71" s="3">
        <v>0</v>
      </c>
    </row>
    <row r="72" spans="1:12" ht="20.100000000000001" customHeight="1">
      <c r="A72" s="3">
        <v>69</v>
      </c>
      <c r="B72" s="4" t="s">
        <v>80</v>
      </c>
      <c r="C72" s="3">
        <v>11</v>
      </c>
      <c r="D72" s="3">
        <v>1</v>
      </c>
      <c r="E72" s="3">
        <v>4</v>
      </c>
      <c r="F72" s="3">
        <v>7</v>
      </c>
      <c r="G72" s="5">
        <f t="shared" si="4"/>
        <v>0.36363636363636365</v>
      </c>
      <c r="H72" s="3">
        <v>103</v>
      </c>
      <c r="I72" s="3">
        <v>109</v>
      </c>
      <c r="J72" s="3">
        <f t="shared" si="5"/>
        <v>-6</v>
      </c>
      <c r="K72" s="3">
        <v>0</v>
      </c>
      <c r="L72" s="3">
        <v>0</v>
      </c>
    </row>
    <row r="73" spans="1:12" ht="20.100000000000001" customHeight="1">
      <c r="A73" s="3">
        <v>70</v>
      </c>
      <c r="B73" s="4" t="s">
        <v>81</v>
      </c>
      <c r="C73" s="3">
        <v>11</v>
      </c>
      <c r="D73" s="3">
        <v>1</v>
      </c>
      <c r="E73" s="3">
        <v>4</v>
      </c>
      <c r="F73" s="3">
        <v>7</v>
      </c>
      <c r="G73" s="5">
        <f t="shared" si="4"/>
        <v>0.36363636363636365</v>
      </c>
      <c r="H73" s="3">
        <v>93</v>
      </c>
      <c r="I73" s="3">
        <v>117</v>
      </c>
      <c r="J73" s="3">
        <f t="shared" si="5"/>
        <v>-24</v>
      </c>
      <c r="K73" s="3">
        <v>0</v>
      </c>
      <c r="L73" s="3">
        <v>0</v>
      </c>
    </row>
    <row r="74" spans="1:12" ht="20.100000000000001" customHeight="1">
      <c r="A74" s="3">
        <v>71</v>
      </c>
      <c r="B74" s="4" t="s">
        <v>82</v>
      </c>
      <c r="C74" s="3">
        <v>10</v>
      </c>
      <c r="D74" s="3">
        <v>1</v>
      </c>
      <c r="E74" s="3">
        <v>3</v>
      </c>
      <c r="F74" s="3">
        <v>7</v>
      </c>
      <c r="G74" s="5">
        <f t="shared" si="4"/>
        <v>0.3</v>
      </c>
      <c r="H74" s="3">
        <v>75</v>
      </c>
      <c r="I74" s="3">
        <v>101</v>
      </c>
      <c r="J74" s="3">
        <f t="shared" si="5"/>
        <v>-26</v>
      </c>
      <c r="K74" s="3">
        <v>0</v>
      </c>
      <c r="L74" s="3">
        <v>0</v>
      </c>
    </row>
    <row r="75" spans="1:12" ht="20.100000000000001" customHeight="1">
      <c r="A75" s="3">
        <v>72</v>
      </c>
      <c r="B75" s="4" t="s">
        <v>83</v>
      </c>
      <c r="C75" s="3">
        <v>11</v>
      </c>
      <c r="D75" s="3">
        <v>1</v>
      </c>
      <c r="E75" s="3">
        <v>3</v>
      </c>
      <c r="F75" s="3">
        <v>8</v>
      </c>
      <c r="G75" s="5">
        <f t="shared" si="4"/>
        <v>0.27272727272727271</v>
      </c>
      <c r="H75" s="3">
        <v>105</v>
      </c>
      <c r="I75" s="3">
        <v>116</v>
      </c>
      <c r="J75" s="3">
        <f t="shared" si="5"/>
        <v>-11</v>
      </c>
      <c r="K75" s="3">
        <v>0</v>
      </c>
      <c r="L75" s="3">
        <v>0</v>
      </c>
    </row>
    <row r="76" spans="1:12" ht="20.100000000000001" customHeight="1">
      <c r="A76" s="3">
        <v>73</v>
      </c>
      <c r="B76" s="4" t="s">
        <v>84</v>
      </c>
      <c r="C76" s="3">
        <v>11</v>
      </c>
      <c r="D76" s="3">
        <v>1</v>
      </c>
      <c r="E76" s="3">
        <v>3</v>
      </c>
      <c r="F76" s="3">
        <v>8</v>
      </c>
      <c r="G76" s="5">
        <f t="shared" si="4"/>
        <v>0.27272727272727271</v>
      </c>
      <c r="H76" s="3">
        <v>93</v>
      </c>
      <c r="I76" s="3">
        <v>109</v>
      </c>
      <c r="J76" s="3">
        <f t="shared" si="5"/>
        <v>-16</v>
      </c>
      <c r="K76" s="3">
        <v>0</v>
      </c>
      <c r="L76" s="3">
        <v>0</v>
      </c>
    </row>
    <row r="77" spans="1:12" ht="20.100000000000001" customHeight="1">
      <c r="A77" s="3">
        <v>74</v>
      </c>
      <c r="B77" s="4" t="s">
        <v>85</v>
      </c>
      <c r="C77" s="3">
        <v>11</v>
      </c>
      <c r="D77" s="3">
        <v>1</v>
      </c>
      <c r="E77" s="3">
        <v>3</v>
      </c>
      <c r="F77" s="3">
        <v>8</v>
      </c>
      <c r="G77" s="5">
        <f t="shared" si="4"/>
        <v>0.27272727272727271</v>
      </c>
      <c r="H77" s="3">
        <v>94</v>
      </c>
      <c r="I77" s="3">
        <v>114</v>
      </c>
      <c r="J77" s="3">
        <f t="shared" si="5"/>
        <v>-20</v>
      </c>
      <c r="K77" s="3">
        <v>0</v>
      </c>
      <c r="L77" s="3">
        <v>0</v>
      </c>
    </row>
    <row r="78" spans="1:12" ht="20.100000000000001" customHeight="1">
      <c r="A78" s="3">
        <v>75</v>
      </c>
      <c r="B78" s="4" t="s">
        <v>86</v>
      </c>
      <c r="C78" s="3">
        <v>11</v>
      </c>
      <c r="D78" s="3">
        <v>1</v>
      </c>
      <c r="E78" s="3">
        <v>3</v>
      </c>
      <c r="F78" s="3">
        <v>8</v>
      </c>
      <c r="G78" s="5">
        <f t="shared" si="4"/>
        <v>0.27272727272727271</v>
      </c>
      <c r="H78" s="3">
        <v>98</v>
      </c>
      <c r="I78" s="3">
        <v>127</v>
      </c>
      <c r="J78" s="3">
        <f t="shared" si="5"/>
        <v>-29</v>
      </c>
      <c r="K78" s="3">
        <v>0</v>
      </c>
      <c r="L78" s="3">
        <v>0</v>
      </c>
    </row>
    <row r="79" spans="1:12" ht="20.100000000000001" customHeight="1">
      <c r="A79" s="3">
        <v>76</v>
      </c>
      <c r="B79" s="4" t="s">
        <v>87</v>
      </c>
      <c r="C79" s="3">
        <v>10</v>
      </c>
      <c r="D79" s="3">
        <v>1</v>
      </c>
      <c r="E79" s="3">
        <v>2</v>
      </c>
      <c r="F79" s="3">
        <v>8</v>
      </c>
      <c r="G79" s="5">
        <f t="shared" si="4"/>
        <v>0.2</v>
      </c>
      <c r="H79" s="3">
        <v>87</v>
      </c>
      <c r="I79" s="3">
        <v>106</v>
      </c>
      <c r="J79" s="3">
        <f t="shared" si="5"/>
        <v>-19</v>
      </c>
      <c r="K79" s="3">
        <v>0</v>
      </c>
      <c r="L79" s="3">
        <v>0</v>
      </c>
    </row>
    <row r="80" spans="1:12" ht="20.100000000000001" customHeight="1">
      <c r="A80" s="3">
        <v>77</v>
      </c>
      <c r="B80" s="6" t="s">
        <v>88</v>
      </c>
      <c r="C80" s="3">
        <v>10</v>
      </c>
      <c r="D80" s="3">
        <v>1</v>
      </c>
      <c r="E80" s="3">
        <v>2</v>
      </c>
      <c r="F80" s="3">
        <v>8</v>
      </c>
      <c r="G80" s="5">
        <f t="shared" si="4"/>
        <v>0.2</v>
      </c>
      <c r="H80" s="3">
        <v>86</v>
      </c>
      <c r="I80" s="3">
        <v>109</v>
      </c>
      <c r="J80" s="3">
        <f t="shared" si="5"/>
        <v>-23</v>
      </c>
      <c r="K80" s="3">
        <v>0</v>
      </c>
      <c r="L80" s="3">
        <v>0</v>
      </c>
    </row>
    <row r="81" spans="1:12" ht="20.100000000000001" customHeight="1">
      <c r="A81" s="3">
        <v>78</v>
      </c>
      <c r="B81" s="6" t="s">
        <v>89</v>
      </c>
      <c r="C81" s="3">
        <v>10</v>
      </c>
      <c r="D81" s="3">
        <v>1</v>
      </c>
      <c r="E81" s="3">
        <v>2</v>
      </c>
      <c r="F81" s="3">
        <v>8</v>
      </c>
      <c r="G81" s="5">
        <f t="shared" si="4"/>
        <v>0.2</v>
      </c>
      <c r="H81" s="3">
        <v>78</v>
      </c>
      <c r="I81" s="3">
        <v>103</v>
      </c>
      <c r="J81" s="3">
        <f t="shared" si="5"/>
        <v>-25</v>
      </c>
      <c r="K81" s="3">
        <v>0</v>
      </c>
      <c r="L81" s="3">
        <v>0</v>
      </c>
    </row>
    <row r="82" spans="1:12" ht="20.100000000000001" customHeight="1">
      <c r="A82" s="3">
        <v>79</v>
      </c>
      <c r="B82" s="6" t="s">
        <v>90</v>
      </c>
      <c r="C82" s="3">
        <v>21</v>
      </c>
      <c r="D82" s="3">
        <v>2</v>
      </c>
      <c r="E82" s="3">
        <v>4</v>
      </c>
      <c r="F82" s="3">
        <v>17</v>
      </c>
      <c r="G82" s="5">
        <f t="shared" si="4"/>
        <v>0.19047619047619047</v>
      </c>
      <c r="H82" s="3">
        <v>159</v>
      </c>
      <c r="I82" s="3">
        <v>217</v>
      </c>
      <c r="J82" s="3">
        <f t="shared" si="5"/>
        <v>-58</v>
      </c>
      <c r="K82" s="3">
        <v>0</v>
      </c>
      <c r="L82" s="3">
        <v>0</v>
      </c>
    </row>
    <row r="83" spans="1:12" ht="20.100000000000001" customHeight="1">
      <c r="A83" s="3">
        <v>80</v>
      </c>
      <c r="B83" s="6" t="s">
        <v>91</v>
      </c>
      <c r="C83" s="3">
        <v>11</v>
      </c>
      <c r="D83" s="3">
        <v>1</v>
      </c>
      <c r="E83" s="3">
        <v>2</v>
      </c>
      <c r="F83" s="3">
        <v>9</v>
      </c>
      <c r="G83" s="5">
        <f t="shared" si="4"/>
        <v>0.18181818181818182</v>
      </c>
      <c r="H83" s="3">
        <v>94</v>
      </c>
      <c r="I83" s="3">
        <v>122</v>
      </c>
      <c r="J83" s="3">
        <f t="shared" si="5"/>
        <v>-28</v>
      </c>
      <c r="K83" s="3">
        <v>0</v>
      </c>
      <c r="L83" s="3">
        <v>0</v>
      </c>
    </row>
    <row r="84" spans="1:12" ht="20.100000000000001" customHeight="1">
      <c r="A84" s="3">
        <v>81</v>
      </c>
      <c r="B84" s="6" t="s">
        <v>92</v>
      </c>
      <c r="C84" s="3">
        <v>11</v>
      </c>
      <c r="D84" s="3">
        <v>1</v>
      </c>
      <c r="E84" s="3">
        <v>2</v>
      </c>
      <c r="F84" s="3">
        <v>9</v>
      </c>
      <c r="G84" s="5">
        <f t="shared" si="4"/>
        <v>0.18181818181818182</v>
      </c>
      <c r="H84" s="3">
        <v>91</v>
      </c>
      <c r="I84" s="3">
        <v>120</v>
      </c>
      <c r="J84" s="3">
        <f t="shared" si="5"/>
        <v>-29</v>
      </c>
      <c r="K84" s="3">
        <v>0</v>
      </c>
      <c r="L84" s="3">
        <v>0</v>
      </c>
    </row>
    <row r="85" spans="1:12" ht="20.100000000000001" customHeight="1">
      <c r="A85" s="3">
        <v>82</v>
      </c>
      <c r="B85" s="6" t="s">
        <v>93</v>
      </c>
      <c r="C85" s="3">
        <v>11</v>
      </c>
      <c r="D85" s="3">
        <v>1</v>
      </c>
      <c r="E85" s="3">
        <v>2</v>
      </c>
      <c r="F85" s="3">
        <v>9</v>
      </c>
      <c r="G85" s="5">
        <f t="shared" si="4"/>
        <v>0.18181818181818182</v>
      </c>
      <c r="H85" s="3">
        <v>84</v>
      </c>
      <c r="I85" s="3">
        <v>119</v>
      </c>
      <c r="J85" s="3">
        <f t="shared" si="5"/>
        <v>-35</v>
      </c>
      <c r="K85" s="3">
        <v>0</v>
      </c>
      <c r="L85" s="3">
        <v>0</v>
      </c>
    </row>
    <row r="86" spans="1:12" ht="20.100000000000001" customHeight="1">
      <c r="A86" s="3">
        <v>83</v>
      </c>
      <c r="B86" s="6" t="s">
        <v>94</v>
      </c>
      <c r="C86" s="3">
        <v>11</v>
      </c>
      <c r="D86" s="3">
        <v>1</v>
      </c>
      <c r="E86" s="3">
        <v>2</v>
      </c>
      <c r="F86" s="3">
        <v>9</v>
      </c>
      <c r="G86" s="5">
        <f t="shared" si="4"/>
        <v>0.18181818181818182</v>
      </c>
      <c r="H86" s="3">
        <v>82</v>
      </c>
      <c r="I86" s="3">
        <v>120</v>
      </c>
      <c r="J86" s="3">
        <f t="shared" si="5"/>
        <v>-38</v>
      </c>
      <c r="K86" s="3">
        <v>0</v>
      </c>
      <c r="L86" s="3">
        <v>0</v>
      </c>
    </row>
    <row r="87" spans="1:12" ht="20.100000000000001" customHeight="1">
      <c r="A87" s="3">
        <v>84</v>
      </c>
      <c r="B87" s="6" t="s">
        <v>95</v>
      </c>
      <c r="C87" s="3">
        <v>11</v>
      </c>
      <c r="D87" s="3">
        <v>1</v>
      </c>
      <c r="E87" s="3">
        <v>2</v>
      </c>
      <c r="F87" s="3">
        <v>9</v>
      </c>
      <c r="G87" s="5">
        <f t="shared" si="4"/>
        <v>0.18181818181818182</v>
      </c>
      <c r="H87" s="3">
        <v>78</v>
      </c>
      <c r="I87" s="3">
        <v>119</v>
      </c>
      <c r="J87" s="3">
        <f t="shared" si="5"/>
        <v>-41</v>
      </c>
      <c r="K87" s="3">
        <v>0</v>
      </c>
      <c r="L87" s="3">
        <v>0</v>
      </c>
    </row>
    <row r="88" spans="1:12" ht="20.100000000000001" customHeight="1">
      <c r="A88" s="3">
        <v>85</v>
      </c>
      <c r="B88" s="6" t="s">
        <v>96</v>
      </c>
      <c r="C88" s="3">
        <v>22</v>
      </c>
      <c r="D88" s="3">
        <v>2</v>
      </c>
      <c r="E88" s="3">
        <v>4</v>
      </c>
      <c r="F88" s="3">
        <v>18</v>
      </c>
      <c r="G88" s="5">
        <f t="shared" si="4"/>
        <v>0.18181818181818182</v>
      </c>
      <c r="H88" s="3">
        <v>190</v>
      </c>
      <c r="I88" s="3">
        <v>249</v>
      </c>
      <c r="J88" s="3">
        <f t="shared" si="5"/>
        <v>-59</v>
      </c>
      <c r="K88" s="3">
        <v>0</v>
      </c>
      <c r="L88" s="3">
        <v>0</v>
      </c>
    </row>
    <row r="89" spans="1:12" ht="20.100000000000001" customHeight="1">
      <c r="A89" s="3">
        <v>86</v>
      </c>
      <c r="B89" s="6" t="s">
        <v>97</v>
      </c>
      <c r="C89" s="3">
        <v>22</v>
      </c>
      <c r="D89" s="3">
        <v>2</v>
      </c>
      <c r="E89" s="3">
        <v>2</v>
      </c>
      <c r="F89" s="3">
        <v>20</v>
      </c>
      <c r="G89" s="5">
        <f t="shared" si="4"/>
        <v>9.0909090909090912E-2</v>
      </c>
      <c r="H89" s="3">
        <v>154</v>
      </c>
      <c r="I89" s="3">
        <v>246</v>
      </c>
      <c r="J89" s="3">
        <f t="shared" si="5"/>
        <v>-92</v>
      </c>
      <c r="K89" s="3">
        <v>0</v>
      </c>
      <c r="L89" s="3">
        <v>0</v>
      </c>
    </row>
  </sheetData>
  <mergeCells count="1">
    <mergeCell ref="A1:L1"/>
  </mergeCells>
  <conditionalFormatting sqref="J4:J79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Standings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Huber</cp:lastModifiedBy>
  <dcterms:created xsi:type="dcterms:W3CDTF">2026-09-11T20:21:12Z</dcterms:created>
  <dcterms:modified xsi:type="dcterms:W3CDTF">2026-09-11T20:21:12Z</dcterms:modified>
</cp:coreProperties>
</file>