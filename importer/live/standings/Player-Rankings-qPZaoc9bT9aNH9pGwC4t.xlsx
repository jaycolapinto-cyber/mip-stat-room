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E914DC20F5C50B12/Documents/"/>
    </mc:Choice>
  </mc:AlternateContent>
  <xr:revisionPtr revIDLastSave="0" documentId="8_{60B723E9-5C1D-4508-9F9D-31095F0F2B96}" xr6:coauthVersionLast="47" xr6:coauthVersionMax="47" xr10:uidLastSave="{00000000-0000-0000-0000-000000000000}"/>
  <bookViews>
    <workbookView xWindow="-120" yWindow="-120" windowWidth="20730" windowHeight="11040" xr2:uid="{781BA1CF-2C88-4FBE-8291-AEB3B6D77EED}"/>
  </bookViews>
  <sheets>
    <sheet name="Player-Rankings-qPZaoc9bT9aNH9p" sheetId="1" r:id="rId1"/>
  </sheets>
  <calcPr calcId="0"/>
</workbook>
</file>

<file path=xl/calcChain.xml><?xml version="1.0" encoding="utf-8"?>
<calcChain xmlns="http://schemas.openxmlformats.org/spreadsheetml/2006/main">
  <c r="Q4" i="1" l="1"/>
  <c r="Q5" i="1"/>
  <c r="Q6" i="1"/>
  <c r="Q7" i="1"/>
  <c r="Q8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7" i="1"/>
  <c r="Q30" i="1"/>
  <c r="Q31" i="1"/>
  <c r="Q32" i="1"/>
  <c r="Q34" i="1"/>
  <c r="Q39" i="1"/>
  <c r="Q41" i="1"/>
  <c r="Q42" i="1"/>
  <c r="Q46" i="1"/>
  <c r="Q52" i="1"/>
  <c r="Q59" i="1"/>
  <c r="Q62" i="1"/>
  <c r="Q63" i="1"/>
  <c r="Q3" i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3" i="1"/>
</calcChain>
</file>

<file path=xl/sharedStrings.xml><?xml version="1.0" encoding="utf-8"?>
<sst xmlns="http://schemas.openxmlformats.org/spreadsheetml/2006/main" count="145" uniqueCount="91">
  <si>
    <t>Rank</t>
  </si>
  <si>
    <t>Name</t>
  </si>
  <si>
    <t>Club</t>
  </si>
  <si>
    <t>Points</t>
  </si>
  <si>
    <t>Wins</t>
  </si>
  <si>
    <t>Losses</t>
  </si>
  <si>
    <t>Win %</t>
  </si>
  <si>
    <t>Josh Judge</t>
  </si>
  <si>
    <t>Merrick in a pickle</t>
  </si>
  <si>
    <t>Julio Olivo</t>
  </si>
  <si>
    <t>Jonathan Mcmilleon</t>
  </si>
  <si>
    <t>Christopher Granito</t>
  </si>
  <si>
    <t>Michael Granito</t>
  </si>
  <si>
    <t>Jeff Hersh</t>
  </si>
  <si>
    <t>Pickle United</t>
  </si>
  <si>
    <t>Paul Ilan</t>
  </si>
  <si>
    <t>Jeremie Asignar</t>
  </si>
  <si>
    <t>Empire State Pickleball Club</t>
  </si>
  <si>
    <t>Adrian Murillo</t>
  </si>
  <si>
    <t>PxP PC</t>
  </si>
  <si>
    <t>Adam Kalyvas</t>
  </si>
  <si>
    <t>Adam Stork</t>
  </si>
  <si>
    <t>David Huber</t>
  </si>
  <si>
    <t>Lauren Glodny</t>
  </si>
  <si>
    <t>Mike Breitinger</t>
  </si>
  <si>
    <t>Rafael Munsayac</t>
  </si>
  <si>
    <t>Club Name Not Set</t>
  </si>
  <si>
    <t>Christie Simmons</t>
  </si>
  <si>
    <t>Jimmy Zervas</t>
  </si>
  <si>
    <t>Timothy Lynch</t>
  </si>
  <si>
    <t>Jaime Frand</t>
  </si>
  <si>
    <t>🦅 🦅</t>
  </si>
  <si>
    <t>Eddie Rizzi</t>
  </si>
  <si>
    <t>Lisa Corso</t>
  </si>
  <si>
    <t>Jarred Barretti</t>
  </si>
  <si>
    <t>Erik Deangelis</t>
  </si>
  <si>
    <t>Jake Paston</t>
  </si>
  <si>
    <t>Paul Heiser</t>
  </si>
  <si>
    <t>Michael Scancarello</t>
  </si>
  <si>
    <t>Frank Pryz</t>
  </si>
  <si>
    <t>Robert Mentz</t>
  </si>
  <si>
    <t>Juan Guzman</t>
  </si>
  <si>
    <t>Peter Prochilo</t>
  </si>
  <si>
    <t>BOX PICKLEBALL</t>
  </si>
  <si>
    <t>Shane Morrison</t>
  </si>
  <si>
    <t>Vincent Cusumano</t>
  </si>
  <si>
    <t>Arthur Galo</t>
  </si>
  <si>
    <t>1 Pickleball Plaza</t>
  </si>
  <si>
    <t>Andrew Johnson</t>
  </si>
  <si>
    <t>Riqian Wang</t>
  </si>
  <si>
    <t>Maurice Reilly</t>
  </si>
  <si>
    <t>Vinz Viz</t>
  </si>
  <si>
    <t>Edward Wahl</t>
  </si>
  <si>
    <t>Alexia Yaziciyan</t>
  </si>
  <si>
    <t>LI-Kick</t>
  </si>
  <si>
    <t>Walker Flanary</t>
  </si>
  <si>
    <t>Stephen Rizzi</t>
  </si>
  <si>
    <t>LANCE JALOZA</t>
  </si>
  <si>
    <t>Jim Duffy</t>
  </si>
  <si>
    <t>Danielle Farruggia</t>
  </si>
  <si>
    <t>John McCormack</t>
  </si>
  <si>
    <t>Bethuel Bayawa</t>
  </si>
  <si>
    <t>Kevin Monahan</t>
  </si>
  <si>
    <t>Matthew Lupardo</t>
  </si>
  <si>
    <t>Adrian Lim</t>
  </si>
  <si>
    <t>Billy Scaduto</t>
  </si>
  <si>
    <t>Ashley Davis</t>
  </si>
  <si>
    <t>Olivia O’Keefe</t>
  </si>
  <si>
    <t>Rex Bunt</t>
  </si>
  <si>
    <t>Jeff Fein</t>
  </si>
  <si>
    <t>Martha Garzon</t>
  </si>
  <si>
    <t>Bill Rotunda</t>
  </si>
  <si>
    <t>Dorothy Connolly</t>
  </si>
  <si>
    <t>Joe Iadevaia</t>
  </si>
  <si>
    <t>Wiktoria W</t>
  </si>
  <si>
    <t>Mikel Strauch</t>
  </si>
  <si>
    <t>Jeff Antinoro</t>
  </si>
  <si>
    <t>Gms</t>
  </si>
  <si>
    <t>Wks</t>
  </si>
  <si>
    <t>Medals</t>
  </si>
  <si>
    <t>Best</t>
  </si>
  <si>
    <t>PPW</t>
  </si>
  <si>
    <t>Pts for</t>
  </si>
  <si>
    <t>Pts aga</t>
  </si>
  <si>
    <t>Diff</t>
  </si>
  <si>
    <t>ABA</t>
  </si>
  <si>
    <t>ABA %</t>
  </si>
  <si>
    <t>Gold</t>
  </si>
  <si>
    <t xml:space="preserve">        5 Weeks</t>
  </si>
  <si>
    <t>MONDAY NIGHT OG LEAGUE</t>
  </si>
  <si>
    <t>MERRICK IN A PICKLE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</si>
</sst>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0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color theme="1"/>
      <name val="Cascadia Code"/>
      <family val="3"/>
    </font>
    <font>
      <sz val="24"/>
      <color theme="1"/>
      <name val="ADLaM Display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3">
    <xf numFmtId="0" fontId="0" fillId="0" borderId="0"/>
    <xf numFmtId="9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9">
    <xf numFmtId="0" fontId="0" fillId="0" borderId="0" xfId="0"/>
    <xf numFmtId="0" fontId="0" fillId="0" borderId="10" xfId="0" applyBorder="1" applyAlignment="1">
      <alignment horizontal="center"/>
    </xf>
    <xf numFmtId="10" fontId="0" fillId="0" borderId="10" xfId="0" applyNumberFormat="1" applyBorder="1" applyAlignment="1">
      <alignment horizontal="center"/>
    </xf>
    <xf numFmtId="9" fontId="0" fillId="0" borderId="10" xfId="0" applyNumberFormat="1" applyBorder="1" applyAlignment="1">
      <alignment horizontal="center"/>
    </xf>
    <xf numFmtId="0" fontId="18" fillId="0" borderId="10" xfId="0" applyFont="1" applyBorder="1" applyAlignment="1">
      <alignment horizontal="center" vertical="center"/>
    </xf>
    <xf numFmtId="0" fontId="18" fillId="0" borderId="0" xfId="0" applyFont="1" applyAlignment="1">
      <alignment vertical="center"/>
    </xf>
    <xf numFmtId="0" fontId="19" fillId="0" borderId="0" xfId="0" applyFont="1" applyAlignment="1">
      <alignment vertical="center"/>
    </xf>
    <xf numFmtId="164" fontId="0" fillId="0" borderId="10" xfId="0" applyNumberFormat="1" applyBorder="1" applyAlignment="1">
      <alignment horizontal="center"/>
    </xf>
    <xf numFmtId="9" fontId="0" fillId="0" borderId="10" xfId="1" applyFont="1" applyBorder="1" applyAlignment="1">
      <alignment horizontal="center"/>
    </xf>
    <xf numFmtId="0" fontId="0" fillId="33" borderId="10" xfId="0" applyFill="1" applyBorder="1" applyAlignment="1">
      <alignment horizontal="center"/>
    </xf>
    <xf numFmtId="10" fontId="0" fillId="33" borderId="10" xfId="0" applyNumberFormat="1" applyFill="1" applyBorder="1" applyAlignment="1">
      <alignment horizontal="center"/>
    </xf>
    <xf numFmtId="164" fontId="0" fillId="33" borderId="10" xfId="0" applyNumberFormat="1" applyFill="1" applyBorder="1" applyAlignment="1">
      <alignment horizontal="center"/>
    </xf>
    <xf numFmtId="0" fontId="0" fillId="34" borderId="10" xfId="0" applyFill="1" applyBorder="1" applyAlignment="1">
      <alignment horizontal="center"/>
    </xf>
    <xf numFmtId="10" fontId="0" fillId="34" borderId="10" xfId="0" applyNumberFormat="1" applyFill="1" applyBorder="1" applyAlignment="1">
      <alignment horizontal="center"/>
    </xf>
    <xf numFmtId="164" fontId="0" fillId="34" borderId="10" xfId="0" applyNumberFormat="1" applyFill="1" applyBorder="1" applyAlignment="1">
      <alignment horizontal="center"/>
    </xf>
    <xf numFmtId="9" fontId="0" fillId="33" borderId="10" xfId="1" applyFont="1" applyFill="1" applyBorder="1" applyAlignment="1">
      <alignment horizontal="center"/>
    </xf>
    <xf numFmtId="10" fontId="0" fillId="35" borderId="10" xfId="0" applyNumberFormat="1" applyFill="1" applyBorder="1" applyAlignment="1">
      <alignment horizontal="center"/>
    </xf>
    <xf numFmtId="164" fontId="0" fillId="35" borderId="10" xfId="0" applyNumberFormat="1" applyFill="1" applyBorder="1" applyAlignment="1">
      <alignment horizontal="center"/>
    </xf>
    <xf numFmtId="0" fontId="0" fillId="35" borderId="10" xfId="0" applyFill="1" applyBorder="1" applyAlignment="1">
      <alignment horizontal="center"/>
    </xf>
  </cellXfs>
  <cellStyles count="43">
    <cellStyle name="20% - Accent1" xfId="20" builtinId="30" customBuiltin="1"/>
    <cellStyle name="20% - Accent2" xfId="24" builtinId="34" customBuiltin="1"/>
    <cellStyle name="20% - Accent3" xfId="28" builtinId="38" customBuiltin="1"/>
    <cellStyle name="20% - Accent4" xfId="32" builtinId="42" customBuiltin="1"/>
    <cellStyle name="20% - Accent5" xfId="36" builtinId="46" customBuiltin="1"/>
    <cellStyle name="20% - Accent6" xfId="40" builtinId="50" customBuiltin="1"/>
    <cellStyle name="40% - Accent1" xfId="21" builtinId="31" customBuiltin="1"/>
    <cellStyle name="40% - Accent2" xfId="25" builtinId="35" customBuiltin="1"/>
    <cellStyle name="40% - Accent3" xfId="29" builtinId="39" customBuiltin="1"/>
    <cellStyle name="40% - Accent4" xfId="33" builtinId="43" customBuiltin="1"/>
    <cellStyle name="40% - Accent5" xfId="37" builtinId="47" customBuiltin="1"/>
    <cellStyle name="40% - Accent6" xfId="41" builtinId="51" customBuiltin="1"/>
    <cellStyle name="60% - Accent1" xfId="22" builtinId="32" customBuiltin="1"/>
    <cellStyle name="60% - Accent2" xfId="26" builtinId="36" customBuiltin="1"/>
    <cellStyle name="60% - Accent3" xfId="30" builtinId="40" customBuiltin="1"/>
    <cellStyle name="60% - Accent4" xfId="34" builtinId="44" customBuiltin="1"/>
    <cellStyle name="60% - Accent5" xfId="38" builtinId="48" customBuiltin="1"/>
    <cellStyle name="60% - Accent6" xfId="42" builtinId="52" customBuiltin="1"/>
    <cellStyle name="Accent1" xfId="19" builtinId="29" customBuiltin="1"/>
    <cellStyle name="Accent2" xfId="23" builtinId="33" customBuiltin="1"/>
    <cellStyle name="Accent3" xfId="27" builtinId="37" customBuiltin="1"/>
    <cellStyle name="Accent4" xfId="31" builtinId="41" customBuiltin="1"/>
    <cellStyle name="Accent5" xfId="35" builtinId="45" customBuiltin="1"/>
    <cellStyle name="Accent6" xfId="39" builtinId="49" customBuiltin="1"/>
    <cellStyle name="Bad" xfId="8" builtinId="27" customBuiltin="1"/>
    <cellStyle name="Calculation" xfId="12" builtinId="22" customBuiltin="1"/>
    <cellStyle name="Check Cell" xfId="14" builtinId="23" customBuiltin="1"/>
    <cellStyle name="Explanatory Text" xfId="17" builtinId="53" customBuiltin="1"/>
    <cellStyle name="Good" xfId="7" builtinId="26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Input" xfId="10" builtinId="20" customBuiltin="1"/>
    <cellStyle name="Linked Cell" xfId="13" builtinId="24" customBuiltin="1"/>
    <cellStyle name="Neutral" xfId="9" builtinId="28" customBuiltin="1"/>
    <cellStyle name="Normal" xfId="0" builtinId="0"/>
    <cellStyle name="Note" xfId="16" builtinId="10" customBuiltin="1"/>
    <cellStyle name="Output" xfId="11" builtinId="21" customBuiltin="1"/>
    <cellStyle name="Percent" xfId="1" builtinId="5"/>
    <cellStyle name="Title" xfId="2" builtinId="15" customBuiltin="1"/>
    <cellStyle name="Total" xfId="18" builtinId="25" customBuiltin="1"/>
    <cellStyle name="Warning Text" xfId="15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4B74BC-12C8-4E91-B779-33328F3F4660}">
  <dimension ref="A1:R64"/>
  <sheetViews>
    <sheetView tabSelected="1" topLeftCell="A2" workbookViewId="0">
      <selection activeCell="P8" sqref="P8"/>
    </sheetView>
  </sheetViews>
  <sheetFormatPr defaultRowHeight="15" x14ac:dyDescent="0.25"/>
  <cols>
    <col min="1" max="1" width="6.42578125" customWidth="1"/>
    <col min="2" max="2" width="20.28515625" customWidth="1"/>
    <col min="3" max="3" width="25.5703125" customWidth="1"/>
    <col min="13" max="13" width="10.5703125" customWidth="1"/>
    <col min="17" max="17" width="10.7109375" customWidth="1"/>
  </cols>
  <sheetData>
    <row r="1" spans="1:18" s="6" customFormat="1" ht="39.950000000000003" customHeight="1" x14ac:dyDescent="0.25">
      <c r="A1" s="6" t="s">
        <v>88</v>
      </c>
      <c r="F1" s="6" t="s">
        <v>89</v>
      </c>
      <c r="O1" s="6" t="s">
        <v>90</v>
      </c>
    </row>
    <row r="2" spans="1:18" s="5" customFormat="1" ht="35.1" customHeight="1" x14ac:dyDescent="0.25">
      <c r="A2" s="4" t="s">
        <v>0</v>
      </c>
      <c r="B2" s="4" t="s">
        <v>1</v>
      </c>
      <c r="C2" s="4" t="s">
        <v>2</v>
      </c>
      <c r="D2" s="4" t="s">
        <v>3</v>
      </c>
      <c r="E2" s="4" t="s">
        <v>4</v>
      </c>
      <c r="F2" s="4" t="s">
        <v>5</v>
      </c>
      <c r="G2" s="4" t="s">
        <v>77</v>
      </c>
      <c r="H2" s="4" t="s">
        <v>6</v>
      </c>
      <c r="I2" s="4" t="s">
        <v>78</v>
      </c>
      <c r="J2" s="4" t="s">
        <v>79</v>
      </c>
      <c r="K2" s="4" t="s">
        <v>80</v>
      </c>
      <c r="L2" s="4" t="s">
        <v>81</v>
      </c>
      <c r="M2" s="4" t="s">
        <v>82</v>
      </c>
      <c r="N2" s="4" t="s">
        <v>83</v>
      </c>
      <c r="O2" s="4" t="s">
        <v>84</v>
      </c>
      <c r="P2" s="4" t="s">
        <v>85</v>
      </c>
      <c r="Q2" s="4" t="s">
        <v>86</v>
      </c>
      <c r="R2" s="4" t="s">
        <v>87</v>
      </c>
    </row>
    <row r="3" spans="1:18" x14ac:dyDescent="0.25">
      <c r="A3" s="1">
        <v>1</v>
      </c>
      <c r="B3" s="9" t="s">
        <v>7</v>
      </c>
      <c r="C3" s="1" t="s">
        <v>8</v>
      </c>
      <c r="D3" s="9">
        <v>104</v>
      </c>
      <c r="E3" s="9">
        <v>35</v>
      </c>
      <c r="F3" s="1">
        <v>20</v>
      </c>
      <c r="G3" s="9">
        <v>55</v>
      </c>
      <c r="H3" s="13">
        <v>0.63600000000000001</v>
      </c>
      <c r="I3" s="1">
        <v>5</v>
      </c>
      <c r="J3" s="1">
        <v>1</v>
      </c>
      <c r="K3" s="1">
        <v>3</v>
      </c>
      <c r="L3" s="14">
        <f>D3/I3</f>
        <v>20.8</v>
      </c>
      <c r="M3" s="1">
        <v>548</v>
      </c>
      <c r="N3" s="1">
        <v>503</v>
      </c>
      <c r="O3" s="1">
        <v>45</v>
      </c>
      <c r="P3" s="9">
        <v>5</v>
      </c>
      <c r="Q3" s="15">
        <f>P3/I3</f>
        <v>1</v>
      </c>
      <c r="R3" s="1"/>
    </row>
    <row r="4" spans="1:18" x14ac:dyDescent="0.25">
      <c r="A4" s="1">
        <v>2</v>
      </c>
      <c r="B4" s="12" t="s">
        <v>9</v>
      </c>
      <c r="C4" s="1" t="s">
        <v>8</v>
      </c>
      <c r="D4" s="12">
        <v>99</v>
      </c>
      <c r="E4" s="1">
        <v>30</v>
      </c>
      <c r="F4" s="1">
        <v>25</v>
      </c>
      <c r="G4" s="9">
        <v>55</v>
      </c>
      <c r="H4" s="2">
        <v>0.54500000000000004</v>
      </c>
      <c r="I4" s="1">
        <v>5</v>
      </c>
      <c r="J4" s="1">
        <v>0</v>
      </c>
      <c r="K4" s="1">
        <v>6</v>
      </c>
      <c r="L4" s="17">
        <f t="shared" ref="L4:L64" si="0">D4/I4</f>
        <v>19.8</v>
      </c>
      <c r="M4" s="1">
        <v>544</v>
      </c>
      <c r="N4" s="1">
        <v>532</v>
      </c>
      <c r="O4" s="1">
        <v>12</v>
      </c>
      <c r="P4" s="9">
        <v>5</v>
      </c>
      <c r="Q4" s="15">
        <f t="shared" ref="Q4:Q64" si="1">P4/I4</f>
        <v>1</v>
      </c>
      <c r="R4" s="1"/>
    </row>
    <row r="5" spans="1:18" x14ac:dyDescent="0.25">
      <c r="A5" s="1">
        <v>2</v>
      </c>
      <c r="B5" s="12" t="s">
        <v>10</v>
      </c>
      <c r="C5" s="1" t="s">
        <v>8</v>
      </c>
      <c r="D5" s="12">
        <v>99</v>
      </c>
      <c r="E5" s="12">
        <v>34</v>
      </c>
      <c r="F5" s="1">
        <v>21</v>
      </c>
      <c r="G5" s="9">
        <v>55</v>
      </c>
      <c r="H5" s="16">
        <v>0.61799999999999999</v>
      </c>
      <c r="I5" s="1">
        <v>5</v>
      </c>
      <c r="J5" s="9">
        <v>2</v>
      </c>
      <c r="K5" s="1">
        <v>1</v>
      </c>
      <c r="L5" s="17">
        <f t="shared" si="0"/>
        <v>19.8</v>
      </c>
      <c r="M5" s="1">
        <v>562</v>
      </c>
      <c r="N5" s="1">
        <v>516</v>
      </c>
      <c r="O5" s="18">
        <v>46</v>
      </c>
      <c r="P5" s="9">
        <v>5</v>
      </c>
      <c r="Q5" s="15">
        <f t="shared" si="1"/>
        <v>1</v>
      </c>
      <c r="R5" s="9">
        <v>2</v>
      </c>
    </row>
    <row r="6" spans="1:18" x14ac:dyDescent="0.25">
      <c r="A6" s="1">
        <v>2</v>
      </c>
      <c r="B6" s="12" t="s">
        <v>11</v>
      </c>
      <c r="C6" s="1" t="s">
        <v>8</v>
      </c>
      <c r="D6" s="12">
        <v>99</v>
      </c>
      <c r="E6" s="1">
        <v>31</v>
      </c>
      <c r="F6" s="1">
        <v>24</v>
      </c>
      <c r="G6" s="9">
        <v>55</v>
      </c>
      <c r="H6" s="2">
        <v>0.56399999999999995</v>
      </c>
      <c r="I6" s="1">
        <v>5</v>
      </c>
      <c r="J6" s="1">
        <v>1</v>
      </c>
      <c r="K6" s="1">
        <v>2</v>
      </c>
      <c r="L6" s="17">
        <f t="shared" si="0"/>
        <v>19.8</v>
      </c>
      <c r="M6" s="1">
        <v>550</v>
      </c>
      <c r="N6" s="1">
        <v>535</v>
      </c>
      <c r="O6" s="1">
        <v>15</v>
      </c>
      <c r="P6" s="9">
        <v>5</v>
      </c>
      <c r="Q6" s="15">
        <f t="shared" si="1"/>
        <v>1</v>
      </c>
      <c r="R6" s="1"/>
    </row>
    <row r="7" spans="1:18" x14ac:dyDescent="0.25">
      <c r="A7" s="1">
        <v>5</v>
      </c>
      <c r="B7" s="1" t="s">
        <v>12</v>
      </c>
      <c r="C7" s="1" t="s">
        <v>8</v>
      </c>
      <c r="D7" s="1">
        <v>94</v>
      </c>
      <c r="E7" s="1">
        <v>33</v>
      </c>
      <c r="F7" s="1">
        <v>22</v>
      </c>
      <c r="G7" s="9">
        <v>55</v>
      </c>
      <c r="H7" s="3">
        <v>0.6</v>
      </c>
      <c r="I7" s="1">
        <v>5</v>
      </c>
      <c r="J7" s="1">
        <v>1</v>
      </c>
      <c r="K7" s="1">
        <v>2</v>
      </c>
      <c r="L7" s="7">
        <f t="shared" si="0"/>
        <v>18.8</v>
      </c>
      <c r="M7" s="1">
        <v>540</v>
      </c>
      <c r="N7" s="1">
        <v>509</v>
      </c>
      <c r="O7" s="1">
        <v>31</v>
      </c>
      <c r="P7" s="1">
        <v>4</v>
      </c>
      <c r="Q7" s="8">
        <f t="shared" si="1"/>
        <v>0.8</v>
      </c>
      <c r="R7" s="1"/>
    </row>
    <row r="8" spans="1:18" x14ac:dyDescent="0.25">
      <c r="A8" s="1">
        <v>6</v>
      </c>
      <c r="B8" s="1" t="s">
        <v>13</v>
      </c>
      <c r="C8" s="1" t="s">
        <v>14</v>
      </c>
      <c r="D8" s="1">
        <v>93</v>
      </c>
      <c r="E8" s="1">
        <v>27</v>
      </c>
      <c r="F8" s="1">
        <v>28</v>
      </c>
      <c r="G8" s="9">
        <v>55</v>
      </c>
      <c r="H8" s="2">
        <v>0.49099999999999999</v>
      </c>
      <c r="I8" s="1">
        <v>5</v>
      </c>
      <c r="J8" s="1">
        <v>0</v>
      </c>
      <c r="K8" s="1">
        <v>6</v>
      </c>
      <c r="L8" s="7">
        <f t="shared" si="0"/>
        <v>18.600000000000001</v>
      </c>
      <c r="M8" s="1">
        <v>558</v>
      </c>
      <c r="N8" s="1">
        <v>550</v>
      </c>
      <c r="O8" s="1">
        <v>8</v>
      </c>
      <c r="P8" s="9">
        <v>5</v>
      </c>
      <c r="Q8" s="15">
        <f t="shared" si="1"/>
        <v>1</v>
      </c>
      <c r="R8" s="1"/>
    </row>
    <row r="9" spans="1:18" x14ac:dyDescent="0.25">
      <c r="A9" s="1">
        <v>7</v>
      </c>
      <c r="B9" s="1" t="s">
        <v>15</v>
      </c>
      <c r="C9" s="1" t="s">
        <v>8</v>
      </c>
      <c r="D9" s="1">
        <v>91</v>
      </c>
      <c r="E9" s="12">
        <v>34</v>
      </c>
      <c r="F9" s="1">
        <v>10</v>
      </c>
      <c r="G9" s="1">
        <v>44</v>
      </c>
      <c r="H9" s="2">
        <v>0.77300000000000002</v>
      </c>
      <c r="I9" s="1">
        <v>4</v>
      </c>
      <c r="J9" s="1">
        <v>4</v>
      </c>
      <c r="K9" s="1">
        <v>2</v>
      </c>
      <c r="L9" s="7">
        <f t="shared" si="0"/>
        <v>22.75</v>
      </c>
      <c r="M9" s="1">
        <v>487</v>
      </c>
      <c r="N9" s="1">
        <v>387</v>
      </c>
      <c r="O9" s="1">
        <v>100</v>
      </c>
      <c r="P9" s="1"/>
      <c r="Q9" s="8"/>
      <c r="R9" s="1"/>
    </row>
    <row r="10" spans="1:18" x14ac:dyDescent="0.25">
      <c r="A10" s="1">
        <v>8</v>
      </c>
      <c r="B10" s="1" t="s">
        <v>16</v>
      </c>
      <c r="C10" s="1" t="s">
        <v>17</v>
      </c>
      <c r="D10" s="1">
        <v>90</v>
      </c>
      <c r="E10" s="1">
        <v>32</v>
      </c>
      <c r="F10" s="1">
        <v>12</v>
      </c>
      <c r="G10" s="1">
        <v>44</v>
      </c>
      <c r="H10" s="10">
        <v>0.72699999999999998</v>
      </c>
      <c r="I10" s="1">
        <v>4</v>
      </c>
      <c r="J10" s="9">
        <v>2</v>
      </c>
      <c r="K10" s="1">
        <v>1</v>
      </c>
      <c r="L10" s="11">
        <f t="shared" si="0"/>
        <v>22.5</v>
      </c>
      <c r="M10" s="1">
        <v>463</v>
      </c>
      <c r="N10" s="1">
        <v>387</v>
      </c>
      <c r="O10" s="9">
        <v>76</v>
      </c>
      <c r="P10" s="1">
        <v>4</v>
      </c>
      <c r="Q10" s="15">
        <f t="shared" si="1"/>
        <v>1</v>
      </c>
      <c r="R10" s="1">
        <v>1</v>
      </c>
    </row>
    <row r="11" spans="1:18" x14ac:dyDescent="0.25">
      <c r="A11" s="1">
        <v>8</v>
      </c>
      <c r="B11" s="1" t="s">
        <v>18</v>
      </c>
      <c r="C11" s="1" t="s">
        <v>19</v>
      </c>
      <c r="D11" s="1">
        <v>90</v>
      </c>
      <c r="E11" s="12">
        <v>34</v>
      </c>
      <c r="F11" s="1">
        <v>21</v>
      </c>
      <c r="G11" s="9">
        <v>55</v>
      </c>
      <c r="H11" s="16">
        <v>0.61799999999999999</v>
      </c>
      <c r="I11" s="1">
        <v>5</v>
      </c>
      <c r="J11" s="9">
        <v>2</v>
      </c>
      <c r="K11" s="1">
        <v>1</v>
      </c>
      <c r="L11" s="7">
        <f t="shared" si="0"/>
        <v>18</v>
      </c>
      <c r="M11" s="1">
        <v>576</v>
      </c>
      <c r="N11" s="1">
        <v>521</v>
      </c>
      <c r="O11" s="1">
        <v>55</v>
      </c>
      <c r="P11" s="1">
        <v>4</v>
      </c>
      <c r="Q11" s="8">
        <f t="shared" si="1"/>
        <v>0.8</v>
      </c>
      <c r="R11" s="12">
        <v>1.5</v>
      </c>
    </row>
    <row r="12" spans="1:18" x14ac:dyDescent="0.25">
      <c r="A12" s="1">
        <v>8</v>
      </c>
      <c r="B12" s="1" t="s">
        <v>20</v>
      </c>
      <c r="C12" s="1" t="s">
        <v>8</v>
      </c>
      <c r="D12" s="1">
        <v>90</v>
      </c>
      <c r="E12" s="12">
        <v>34</v>
      </c>
      <c r="F12" s="1">
        <v>21</v>
      </c>
      <c r="G12" s="9">
        <v>55</v>
      </c>
      <c r="H12" s="16">
        <v>0.61799999999999999</v>
      </c>
      <c r="I12" s="1">
        <v>5</v>
      </c>
      <c r="J12" s="9">
        <v>2</v>
      </c>
      <c r="K12" s="1">
        <v>1</v>
      </c>
      <c r="L12" s="7">
        <f t="shared" si="0"/>
        <v>18</v>
      </c>
      <c r="M12" s="1">
        <v>576</v>
      </c>
      <c r="N12" s="1">
        <v>513</v>
      </c>
      <c r="O12" s="12">
        <v>63</v>
      </c>
      <c r="P12" s="1">
        <v>4</v>
      </c>
      <c r="Q12" s="8">
        <f t="shared" si="1"/>
        <v>0.8</v>
      </c>
      <c r="R12" s="1">
        <v>1</v>
      </c>
    </row>
    <row r="13" spans="1:18" x14ac:dyDescent="0.25">
      <c r="A13" s="1">
        <v>11</v>
      </c>
      <c r="B13" s="1" t="s">
        <v>21</v>
      </c>
      <c r="C13" s="1" t="s">
        <v>8</v>
      </c>
      <c r="D13" s="1">
        <v>68</v>
      </c>
      <c r="E13" s="1">
        <v>20</v>
      </c>
      <c r="F13" s="1">
        <v>24</v>
      </c>
      <c r="G13" s="1">
        <v>44</v>
      </c>
      <c r="H13" s="2">
        <v>0.45500000000000002</v>
      </c>
      <c r="I13" s="1">
        <v>4</v>
      </c>
      <c r="J13" s="1">
        <v>0</v>
      </c>
      <c r="K13" s="1">
        <v>7</v>
      </c>
      <c r="L13" s="7">
        <f t="shared" si="0"/>
        <v>17</v>
      </c>
      <c r="M13" s="1">
        <v>414</v>
      </c>
      <c r="N13" s="1">
        <v>428</v>
      </c>
      <c r="O13" s="1">
        <v>-14</v>
      </c>
      <c r="P13" s="1">
        <v>2</v>
      </c>
      <c r="Q13" s="8">
        <f t="shared" si="1"/>
        <v>0.5</v>
      </c>
      <c r="R13" s="1"/>
    </row>
    <row r="14" spans="1:18" x14ac:dyDescent="0.25">
      <c r="A14" s="1">
        <v>12</v>
      </c>
      <c r="B14" s="1" t="s">
        <v>22</v>
      </c>
      <c r="C14" s="1" t="s">
        <v>8</v>
      </c>
      <c r="D14" s="1">
        <v>66</v>
      </c>
      <c r="E14" s="1">
        <v>28</v>
      </c>
      <c r="F14" s="1">
        <v>26</v>
      </c>
      <c r="G14" s="1">
        <v>54</v>
      </c>
      <c r="H14" s="2">
        <v>0.51900000000000002</v>
      </c>
      <c r="I14" s="1">
        <v>5</v>
      </c>
      <c r="J14" s="1">
        <v>1</v>
      </c>
      <c r="K14" s="1">
        <v>1</v>
      </c>
      <c r="L14" s="7">
        <f t="shared" si="0"/>
        <v>13.2</v>
      </c>
      <c r="M14" s="1">
        <v>524</v>
      </c>
      <c r="N14" s="1">
        <v>519</v>
      </c>
      <c r="O14" s="1">
        <v>5</v>
      </c>
      <c r="P14" s="1">
        <v>2</v>
      </c>
      <c r="Q14" s="8">
        <f t="shared" si="1"/>
        <v>0.4</v>
      </c>
      <c r="R14" s="1">
        <v>0.25</v>
      </c>
    </row>
    <row r="15" spans="1:18" x14ac:dyDescent="0.25">
      <c r="A15" s="1">
        <v>13</v>
      </c>
      <c r="B15" s="1" t="s">
        <v>23</v>
      </c>
      <c r="C15" s="1" t="s">
        <v>8</v>
      </c>
      <c r="D15" s="1">
        <v>65</v>
      </c>
      <c r="E15" s="1">
        <v>18</v>
      </c>
      <c r="F15" s="1">
        <v>26</v>
      </c>
      <c r="G15" s="1">
        <v>44</v>
      </c>
      <c r="H15" s="2">
        <v>0.40899999999999997</v>
      </c>
      <c r="I15" s="1">
        <v>4</v>
      </c>
      <c r="J15" s="1">
        <v>0</v>
      </c>
      <c r="K15" s="1">
        <v>6</v>
      </c>
      <c r="L15" s="7">
        <f t="shared" si="0"/>
        <v>16.25</v>
      </c>
      <c r="M15" s="1">
        <v>433</v>
      </c>
      <c r="N15" s="1">
        <v>449</v>
      </c>
      <c r="O15" s="1">
        <v>-16</v>
      </c>
      <c r="P15" s="1">
        <v>3</v>
      </c>
      <c r="Q15" s="8">
        <f t="shared" si="1"/>
        <v>0.75</v>
      </c>
      <c r="R15" s="1"/>
    </row>
    <row r="16" spans="1:18" x14ac:dyDescent="0.25">
      <c r="A16" s="1">
        <v>13</v>
      </c>
      <c r="B16" s="1" t="s">
        <v>24</v>
      </c>
      <c r="C16" s="1" t="s">
        <v>8</v>
      </c>
      <c r="D16" s="1">
        <v>65</v>
      </c>
      <c r="E16" s="1">
        <v>21</v>
      </c>
      <c r="F16" s="1">
        <v>23</v>
      </c>
      <c r="G16" s="1">
        <v>44</v>
      </c>
      <c r="H16" s="2">
        <v>0.47699999999999998</v>
      </c>
      <c r="I16" s="1">
        <v>4</v>
      </c>
      <c r="J16" s="1">
        <v>1</v>
      </c>
      <c r="K16" s="1">
        <v>3</v>
      </c>
      <c r="L16" s="7">
        <f t="shared" si="0"/>
        <v>16.25</v>
      </c>
      <c r="M16" s="1">
        <v>433</v>
      </c>
      <c r="N16" s="1">
        <v>442</v>
      </c>
      <c r="O16" s="1">
        <v>-9</v>
      </c>
      <c r="P16" s="1">
        <v>3</v>
      </c>
      <c r="Q16" s="8">
        <f t="shared" si="1"/>
        <v>0.75</v>
      </c>
      <c r="R16" s="1"/>
    </row>
    <row r="17" spans="1:18" x14ac:dyDescent="0.25">
      <c r="A17" s="1">
        <v>15</v>
      </c>
      <c r="B17" s="1" t="s">
        <v>25</v>
      </c>
      <c r="C17" s="1" t="s">
        <v>26</v>
      </c>
      <c r="D17" s="1">
        <v>61</v>
      </c>
      <c r="E17" s="1">
        <v>19</v>
      </c>
      <c r="F17" s="1">
        <v>25</v>
      </c>
      <c r="G17" s="1">
        <v>44</v>
      </c>
      <c r="H17" s="2">
        <v>0.432</v>
      </c>
      <c r="I17" s="1">
        <v>4</v>
      </c>
      <c r="J17" s="1">
        <v>0</v>
      </c>
      <c r="K17" s="1">
        <v>4</v>
      </c>
      <c r="L17" s="7">
        <f t="shared" si="0"/>
        <v>15.25</v>
      </c>
      <c r="M17" s="1">
        <v>421</v>
      </c>
      <c r="N17" s="1">
        <v>438</v>
      </c>
      <c r="O17" s="1">
        <v>-17</v>
      </c>
      <c r="P17" s="1">
        <v>3</v>
      </c>
      <c r="Q17" s="8">
        <f t="shared" si="1"/>
        <v>0.75</v>
      </c>
      <c r="R17" s="1"/>
    </row>
    <row r="18" spans="1:18" x14ac:dyDescent="0.25">
      <c r="A18" s="1">
        <v>16</v>
      </c>
      <c r="B18" s="1" t="s">
        <v>27</v>
      </c>
      <c r="C18" s="1" t="s">
        <v>8</v>
      </c>
      <c r="D18" s="1">
        <v>59</v>
      </c>
      <c r="E18" s="1">
        <v>19</v>
      </c>
      <c r="F18" s="1">
        <v>24</v>
      </c>
      <c r="G18" s="1">
        <v>43</v>
      </c>
      <c r="H18" s="2">
        <v>0.442</v>
      </c>
      <c r="I18" s="1">
        <v>4</v>
      </c>
      <c r="J18" s="1">
        <v>0</v>
      </c>
      <c r="K18" s="1">
        <v>5</v>
      </c>
      <c r="L18" s="7">
        <f t="shared" si="0"/>
        <v>14.75</v>
      </c>
      <c r="M18" s="1">
        <v>416</v>
      </c>
      <c r="N18" s="1">
        <v>440</v>
      </c>
      <c r="O18" s="1">
        <v>-24</v>
      </c>
      <c r="P18" s="1">
        <v>2</v>
      </c>
      <c r="Q18" s="8">
        <f t="shared" si="1"/>
        <v>0.5</v>
      </c>
      <c r="R18" s="1"/>
    </row>
    <row r="19" spans="1:18" x14ac:dyDescent="0.25">
      <c r="A19" s="1">
        <v>16</v>
      </c>
      <c r="B19" s="1" t="s">
        <v>28</v>
      </c>
      <c r="C19" s="1" t="s">
        <v>8</v>
      </c>
      <c r="D19" s="1">
        <v>59</v>
      </c>
      <c r="E19" s="1">
        <v>21</v>
      </c>
      <c r="F19" s="1">
        <v>23</v>
      </c>
      <c r="G19" s="1">
        <v>44</v>
      </c>
      <c r="H19" s="2">
        <v>0.47699999999999998</v>
      </c>
      <c r="I19" s="1">
        <v>4</v>
      </c>
      <c r="J19" s="1">
        <v>0</v>
      </c>
      <c r="K19" s="1">
        <v>5</v>
      </c>
      <c r="L19" s="7">
        <f t="shared" si="0"/>
        <v>14.75</v>
      </c>
      <c r="M19" s="1">
        <v>422</v>
      </c>
      <c r="N19" s="1">
        <v>452</v>
      </c>
      <c r="O19" s="1">
        <v>-30</v>
      </c>
      <c r="P19" s="1">
        <v>2</v>
      </c>
      <c r="Q19" s="8">
        <f t="shared" si="1"/>
        <v>0.5</v>
      </c>
      <c r="R19" s="1"/>
    </row>
    <row r="20" spans="1:18" x14ac:dyDescent="0.25">
      <c r="A20" s="1">
        <v>18</v>
      </c>
      <c r="B20" s="1" t="s">
        <v>29</v>
      </c>
      <c r="C20" s="1" t="s">
        <v>8</v>
      </c>
      <c r="D20" s="1">
        <v>52</v>
      </c>
      <c r="E20" s="1">
        <v>19</v>
      </c>
      <c r="F20" s="1">
        <v>25</v>
      </c>
      <c r="G20" s="1">
        <v>44</v>
      </c>
      <c r="H20" s="2">
        <v>0.432</v>
      </c>
      <c r="I20" s="1">
        <v>4</v>
      </c>
      <c r="J20" s="1">
        <v>0</v>
      </c>
      <c r="K20" s="1">
        <v>8</v>
      </c>
      <c r="L20" s="7">
        <f t="shared" si="0"/>
        <v>13</v>
      </c>
      <c r="M20" s="1">
        <v>445</v>
      </c>
      <c r="N20" s="1">
        <v>433</v>
      </c>
      <c r="O20" s="1">
        <v>12</v>
      </c>
      <c r="P20" s="1">
        <v>2</v>
      </c>
      <c r="Q20" s="8">
        <f t="shared" si="1"/>
        <v>0.5</v>
      </c>
      <c r="R20" s="1"/>
    </row>
    <row r="21" spans="1:18" x14ac:dyDescent="0.25">
      <c r="A21" s="1">
        <v>19</v>
      </c>
      <c r="B21" s="1" t="s">
        <v>30</v>
      </c>
      <c r="C21" s="1" t="s">
        <v>8</v>
      </c>
      <c r="D21" s="1">
        <v>49</v>
      </c>
      <c r="E21" s="1">
        <v>25</v>
      </c>
      <c r="F21" s="1">
        <v>30</v>
      </c>
      <c r="G21" s="9">
        <v>55</v>
      </c>
      <c r="H21" s="2">
        <v>0.45500000000000002</v>
      </c>
      <c r="I21" s="1">
        <v>5</v>
      </c>
      <c r="J21" s="1">
        <v>1</v>
      </c>
      <c r="K21" s="1">
        <v>1</v>
      </c>
      <c r="L21" s="7">
        <f t="shared" si="0"/>
        <v>9.8000000000000007</v>
      </c>
      <c r="M21" s="1">
        <v>539</v>
      </c>
      <c r="N21" s="1">
        <v>558</v>
      </c>
      <c r="O21" s="1">
        <v>-19</v>
      </c>
      <c r="P21" s="1">
        <v>2</v>
      </c>
      <c r="Q21" s="8">
        <f t="shared" si="1"/>
        <v>0.4</v>
      </c>
      <c r="R21" s="1">
        <v>0.25</v>
      </c>
    </row>
    <row r="22" spans="1:18" x14ac:dyDescent="0.25">
      <c r="A22" s="1">
        <v>20</v>
      </c>
      <c r="B22" s="1" t="s">
        <v>31</v>
      </c>
      <c r="C22" s="1" t="s">
        <v>8</v>
      </c>
      <c r="D22" s="1">
        <v>48</v>
      </c>
      <c r="E22" s="1">
        <v>24</v>
      </c>
      <c r="F22" s="1">
        <v>31</v>
      </c>
      <c r="G22" s="9">
        <v>55</v>
      </c>
      <c r="H22" s="2">
        <v>0.436</v>
      </c>
      <c r="I22" s="1">
        <v>5</v>
      </c>
      <c r="J22" s="1">
        <v>0</v>
      </c>
      <c r="K22" s="1">
        <v>4</v>
      </c>
      <c r="L22" s="7">
        <f t="shared" si="0"/>
        <v>9.6</v>
      </c>
      <c r="M22" s="1">
        <v>524</v>
      </c>
      <c r="N22" s="1">
        <v>558</v>
      </c>
      <c r="O22" s="1">
        <v>-34</v>
      </c>
      <c r="P22" s="1">
        <v>2</v>
      </c>
      <c r="Q22" s="8">
        <f t="shared" si="1"/>
        <v>0.4</v>
      </c>
      <c r="R22" s="1"/>
    </row>
    <row r="23" spans="1:18" x14ac:dyDescent="0.25">
      <c r="A23" s="1">
        <v>21</v>
      </c>
      <c r="B23" s="1" t="s">
        <v>32</v>
      </c>
      <c r="C23" s="1" t="s">
        <v>8</v>
      </c>
      <c r="D23" s="1">
        <v>42</v>
      </c>
      <c r="E23" s="1">
        <v>18</v>
      </c>
      <c r="F23" s="1">
        <v>17</v>
      </c>
      <c r="G23" s="1">
        <v>35</v>
      </c>
      <c r="H23" s="2">
        <v>0.51400000000000001</v>
      </c>
      <c r="I23" s="1">
        <v>4</v>
      </c>
      <c r="J23" s="1">
        <v>1</v>
      </c>
      <c r="K23" s="1">
        <v>2</v>
      </c>
      <c r="L23" s="7">
        <f t="shared" si="0"/>
        <v>10.5</v>
      </c>
      <c r="M23" s="1">
        <v>352</v>
      </c>
      <c r="N23" s="1">
        <v>361</v>
      </c>
      <c r="O23" s="1">
        <v>-9</v>
      </c>
      <c r="P23" s="1">
        <v>0</v>
      </c>
      <c r="Q23" s="8">
        <f t="shared" si="1"/>
        <v>0</v>
      </c>
      <c r="R23" s="1"/>
    </row>
    <row r="24" spans="1:18" x14ac:dyDescent="0.25">
      <c r="A24" s="1">
        <v>22</v>
      </c>
      <c r="B24" s="1" t="s">
        <v>33</v>
      </c>
      <c r="C24" s="1" t="s">
        <v>8</v>
      </c>
      <c r="D24" s="1">
        <v>41</v>
      </c>
      <c r="E24" s="1">
        <v>16</v>
      </c>
      <c r="F24" s="1">
        <v>28</v>
      </c>
      <c r="G24" s="1">
        <v>44</v>
      </c>
      <c r="H24" s="2">
        <v>0.36399999999999999</v>
      </c>
      <c r="I24" s="1">
        <v>4</v>
      </c>
      <c r="J24" s="1">
        <v>1</v>
      </c>
      <c r="K24" s="1">
        <v>3</v>
      </c>
      <c r="L24" s="7">
        <f t="shared" si="0"/>
        <v>10.25</v>
      </c>
      <c r="M24" s="1">
        <v>420</v>
      </c>
      <c r="N24" s="1">
        <v>479</v>
      </c>
      <c r="O24" s="1">
        <v>-59</v>
      </c>
      <c r="P24" s="1">
        <v>1</v>
      </c>
      <c r="Q24" s="8">
        <f t="shared" si="1"/>
        <v>0.25</v>
      </c>
      <c r="R24" s="1"/>
    </row>
    <row r="25" spans="1:18" x14ac:dyDescent="0.25">
      <c r="A25" s="1">
        <v>22</v>
      </c>
      <c r="B25" s="1" t="s">
        <v>34</v>
      </c>
      <c r="C25" s="1" t="s">
        <v>8</v>
      </c>
      <c r="D25" s="1">
        <v>41</v>
      </c>
      <c r="E25" s="1">
        <v>19</v>
      </c>
      <c r="F25" s="1">
        <v>35</v>
      </c>
      <c r="G25" s="1">
        <v>54</v>
      </c>
      <c r="H25" s="2">
        <v>0.35199999999999998</v>
      </c>
      <c r="I25" s="1">
        <v>5</v>
      </c>
      <c r="J25" s="1">
        <v>0</v>
      </c>
      <c r="K25" s="1">
        <v>7</v>
      </c>
      <c r="L25" s="7">
        <f t="shared" si="0"/>
        <v>8.1999999999999993</v>
      </c>
      <c r="M25" s="1">
        <v>481</v>
      </c>
      <c r="N25" s="1">
        <v>549</v>
      </c>
      <c r="O25" s="1">
        <v>-68</v>
      </c>
      <c r="P25" s="1">
        <v>2</v>
      </c>
      <c r="Q25" s="8">
        <f t="shared" si="1"/>
        <v>0.4</v>
      </c>
      <c r="R25" s="1"/>
    </row>
    <row r="26" spans="1:18" x14ac:dyDescent="0.25">
      <c r="A26" s="1">
        <v>22</v>
      </c>
      <c r="B26" s="1" t="s">
        <v>35</v>
      </c>
      <c r="C26" s="1" t="s">
        <v>19</v>
      </c>
      <c r="D26" s="1">
        <v>41</v>
      </c>
      <c r="E26" s="1">
        <v>15</v>
      </c>
      <c r="F26" s="1">
        <v>18</v>
      </c>
      <c r="G26" s="1">
        <v>33</v>
      </c>
      <c r="H26" s="2">
        <v>0.45500000000000002</v>
      </c>
      <c r="I26" s="1">
        <v>3</v>
      </c>
      <c r="J26" s="1">
        <v>0</v>
      </c>
      <c r="K26" s="1">
        <v>5</v>
      </c>
      <c r="L26" s="7">
        <f t="shared" si="0"/>
        <v>13.666666666666666</v>
      </c>
      <c r="M26" s="1">
        <v>322</v>
      </c>
      <c r="N26" s="1">
        <v>326</v>
      </c>
      <c r="O26" s="1">
        <v>-4</v>
      </c>
      <c r="P26" s="1"/>
      <c r="Q26" s="8"/>
      <c r="R26" s="1"/>
    </row>
    <row r="27" spans="1:18" x14ac:dyDescent="0.25">
      <c r="A27" s="1">
        <v>25</v>
      </c>
      <c r="B27" s="1" t="s">
        <v>36</v>
      </c>
      <c r="C27" s="1" t="s">
        <v>8</v>
      </c>
      <c r="D27" s="1">
        <v>40</v>
      </c>
      <c r="E27" s="1">
        <v>15</v>
      </c>
      <c r="F27" s="1">
        <v>18</v>
      </c>
      <c r="G27" s="1">
        <v>33</v>
      </c>
      <c r="H27" s="2">
        <v>0.45500000000000002</v>
      </c>
      <c r="I27" s="1">
        <v>3</v>
      </c>
      <c r="J27" s="1">
        <v>1</v>
      </c>
      <c r="K27" s="1">
        <v>3</v>
      </c>
      <c r="L27" s="7">
        <f t="shared" si="0"/>
        <v>13.333333333333334</v>
      </c>
      <c r="M27" s="1">
        <v>325</v>
      </c>
      <c r="N27" s="1">
        <v>323</v>
      </c>
      <c r="O27" s="1">
        <v>2</v>
      </c>
      <c r="P27" s="1">
        <v>1</v>
      </c>
      <c r="Q27" s="8">
        <f t="shared" si="1"/>
        <v>0.33333333333333331</v>
      </c>
      <c r="R27" s="1"/>
    </row>
    <row r="28" spans="1:18" x14ac:dyDescent="0.25">
      <c r="A28" s="1">
        <v>26</v>
      </c>
      <c r="B28" s="1" t="s">
        <v>37</v>
      </c>
      <c r="C28" s="1" t="s">
        <v>8</v>
      </c>
      <c r="D28" s="1">
        <v>39</v>
      </c>
      <c r="E28" s="1">
        <v>21</v>
      </c>
      <c r="F28" s="1">
        <v>34</v>
      </c>
      <c r="G28" s="1">
        <v>55</v>
      </c>
      <c r="H28" s="2">
        <v>0.38200000000000001</v>
      </c>
      <c r="I28" s="1">
        <v>5</v>
      </c>
      <c r="J28" s="1">
        <v>0</v>
      </c>
      <c r="K28" s="1">
        <v>5</v>
      </c>
      <c r="L28" s="7">
        <f t="shared" si="0"/>
        <v>7.8</v>
      </c>
      <c r="M28" s="1">
        <v>524</v>
      </c>
      <c r="N28" s="1">
        <v>568</v>
      </c>
      <c r="O28" s="1">
        <v>-44</v>
      </c>
      <c r="P28" s="1"/>
      <c r="Q28" s="8"/>
      <c r="R28" s="1"/>
    </row>
    <row r="29" spans="1:18" x14ac:dyDescent="0.25">
      <c r="A29" s="1">
        <v>27</v>
      </c>
      <c r="B29" s="1" t="s">
        <v>38</v>
      </c>
      <c r="C29" s="1" t="s">
        <v>8</v>
      </c>
      <c r="D29" s="1">
        <v>38</v>
      </c>
      <c r="E29" s="1">
        <v>11</v>
      </c>
      <c r="F29" s="1">
        <v>11</v>
      </c>
      <c r="G29" s="1">
        <v>22</v>
      </c>
      <c r="H29" s="3">
        <v>0.5</v>
      </c>
      <c r="I29" s="1">
        <v>2</v>
      </c>
      <c r="J29" s="1">
        <v>0</v>
      </c>
      <c r="K29" s="1">
        <v>6</v>
      </c>
      <c r="L29" s="7">
        <f t="shared" si="0"/>
        <v>19</v>
      </c>
      <c r="M29" s="1">
        <v>222</v>
      </c>
      <c r="N29" s="1">
        <v>220</v>
      </c>
      <c r="O29" s="1">
        <v>2</v>
      </c>
      <c r="P29" s="1"/>
      <c r="Q29" s="8"/>
      <c r="R29" s="1"/>
    </row>
    <row r="30" spans="1:18" x14ac:dyDescent="0.25">
      <c r="A30" s="1">
        <v>27</v>
      </c>
      <c r="B30" s="1" t="s">
        <v>39</v>
      </c>
      <c r="C30" s="1" t="s">
        <v>8</v>
      </c>
      <c r="D30" s="1">
        <v>38</v>
      </c>
      <c r="E30" s="1">
        <v>22</v>
      </c>
      <c r="F30" s="1">
        <v>22</v>
      </c>
      <c r="G30" s="1">
        <v>44</v>
      </c>
      <c r="H30" s="3">
        <v>0.5</v>
      </c>
      <c r="I30" s="1">
        <v>4</v>
      </c>
      <c r="J30" s="1">
        <v>1</v>
      </c>
      <c r="K30" s="1">
        <v>3</v>
      </c>
      <c r="L30" s="7">
        <f t="shared" si="0"/>
        <v>9.5</v>
      </c>
      <c r="M30" s="1">
        <v>444</v>
      </c>
      <c r="N30" s="1">
        <v>428</v>
      </c>
      <c r="O30" s="1">
        <v>16</v>
      </c>
      <c r="P30" s="1">
        <v>1</v>
      </c>
      <c r="Q30" s="8">
        <f t="shared" si="1"/>
        <v>0.25</v>
      </c>
      <c r="R30" s="1"/>
    </row>
    <row r="31" spans="1:18" x14ac:dyDescent="0.25">
      <c r="A31" s="1">
        <v>29</v>
      </c>
      <c r="B31" s="1" t="s">
        <v>40</v>
      </c>
      <c r="C31" s="1" t="s">
        <v>8</v>
      </c>
      <c r="D31" s="1">
        <v>37</v>
      </c>
      <c r="E31" s="1">
        <v>13</v>
      </c>
      <c r="F31" s="1">
        <v>31</v>
      </c>
      <c r="G31" s="1">
        <v>44</v>
      </c>
      <c r="H31" s="2">
        <v>0.29499999999999998</v>
      </c>
      <c r="I31" s="1">
        <v>4</v>
      </c>
      <c r="J31" s="1">
        <v>0</v>
      </c>
      <c r="K31" s="1">
        <v>8</v>
      </c>
      <c r="L31" s="7">
        <f t="shared" si="0"/>
        <v>9.25</v>
      </c>
      <c r="M31" s="1">
        <v>377</v>
      </c>
      <c r="N31" s="1">
        <v>438</v>
      </c>
      <c r="O31" s="1">
        <v>-61</v>
      </c>
      <c r="P31" s="1">
        <v>1</v>
      </c>
      <c r="Q31" s="8">
        <f t="shared" si="1"/>
        <v>0.25</v>
      </c>
      <c r="R31" s="1"/>
    </row>
    <row r="32" spans="1:18" x14ac:dyDescent="0.25">
      <c r="A32" s="1">
        <v>29</v>
      </c>
      <c r="B32" s="1" t="s">
        <v>41</v>
      </c>
      <c r="C32" s="1" t="s">
        <v>8</v>
      </c>
      <c r="D32" s="1">
        <v>37</v>
      </c>
      <c r="E32" s="1">
        <v>12</v>
      </c>
      <c r="F32" s="1">
        <v>21</v>
      </c>
      <c r="G32" s="1">
        <v>33</v>
      </c>
      <c r="H32" s="2">
        <v>0.36399999999999999</v>
      </c>
      <c r="I32" s="1">
        <v>3</v>
      </c>
      <c r="J32" s="1">
        <v>0</v>
      </c>
      <c r="K32" s="1">
        <v>9</v>
      </c>
      <c r="L32" s="7">
        <f t="shared" si="0"/>
        <v>12.333333333333334</v>
      </c>
      <c r="M32" s="1">
        <v>308</v>
      </c>
      <c r="N32" s="1">
        <v>344</v>
      </c>
      <c r="O32" s="1">
        <v>-36</v>
      </c>
      <c r="P32" s="1">
        <v>2</v>
      </c>
      <c r="Q32" s="8">
        <f t="shared" si="1"/>
        <v>0.66666666666666663</v>
      </c>
      <c r="R32" s="1"/>
    </row>
    <row r="33" spans="1:18" x14ac:dyDescent="0.25">
      <c r="A33" s="1">
        <v>31</v>
      </c>
      <c r="B33" s="1" t="s">
        <v>42</v>
      </c>
      <c r="C33" s="1" t="s">
        <v>43</v>
      </c>
      <c r="D33" s="1">
        <v>36</v>
      </c>
      <c r="E33" s="1">
        <v>16</v>
      </c>
      <c r="F33" s="1">
        <v>6</v>
      </c>
      <c r="G33" s="1">
        <v>22</v>
      </c>
      <c r="H33" s="2">
        <v>0.72699999999999998</v>
      </c>
      <c r="I33" s="1">
        <v>2</v>
      </c>
      <c r="J33" s="1">
        <v>1</v>
      </c>
      <c r="K33" s="1">
        <v>2</v>
      </c>
      <c r="L33" s="7">
        <f t="shared" si="0"/>
        <v>18</v>
      </c>
      <c r="M33" s="1">
        <v>224</v>
      </c>
      <c r="N33" s="1">
        <v>187</v>
      </c>
      <c r="O33" s="1">
        <v>37</v>
      </c>
      <c r="P33" s="1"/>
      <c r="Q33" s="8"/>
      <c r="R33" s="1"/>
    </row>
    <row r="34" spans="1:18" x14ac:dyDescent="0.25">
      <c r="A34" s="1">
        <v>32</v>
      </c>
      <c r="B34" s="1" t="s">
        <v>44</v>
      </c>
      <c r="C34" s="1" t="s">
        <v>8</v>
      </c>
      <c r="D34" s="1">
        <v>33</v>
      </c>
      <c r="E34" s="1">
        <v>13</v>
      </c>
      <c r="F34" s="1">
        <v>20</v>
      </c>
      <c r="G34" s="1">
        <v>33</v>
      </c>
      <c r="H34" s="2">
        <v>0.39400000000000002</v>
      </c>
      <c r="I34" s="1">
        <v>3</v>
      </c>
      <c r="J34" s="1">
        <v>0</v>
      </c>
      <c r="K34" s="1">
        <v>6</v>
      </c>
      <c r="L34" s="7">
        <f t="shared" si="0"/>
        <v>11</v>
      </c>
      <c r="M34" s="1">
        <v>303</v>
      </c>
      <c r="N34" s="1">
        <v>327</v>
      </c>
      <c r="O34" s="1">
        <v>-24</v>
      </c>
      <c r="P34" s="1">
        <v>1</v>
      </c>
      <c r="Q34" s="8">
        <f t="shared" si="1"/>
        <v>0.33333333333333331</v>
      </c>
      <c r="R34" s="1"/>
    </row>
    <row r="35" spans="1:18" x14ac:dyDescent="0.25">
      <c r="A35" s="1">
        <v>33</v>
      </c>
      <c r="B35" s="1" t="s">
        <v>45</v>
      </c>
      <c r="C35" s="1" t="s">
        <v>8</v>
      </c>
      <c r="D35" s="1">
        <v>31</v>
      </c>
      <c r="E35" s="1">
        <v>14</v>
      </c>
      <c r="F35" s="1">
        <v>8</v>
      </c>
      <c r="G35" s="1">
        <v>22</v>
      </c>
      <c r="H35" s="2">
        <v>0.63600000000000001</v>
      </c>
      <c r="I35" s="1">
        <v>2</v>
      </c>
      <c r="J35" s="1">
        <v>1</v>
      </c>
      <c r="K35" s="1">
        <v>3</v>
      </c>
      <c r="L35" s="7">
        <f t="shared" si="0"/>
        <v>15.5</v>
      </c>
      <c r="M35" s="1">
        <v>221</v>
      </c>
      <c r="N35" s="1">
        <v>205</v>
      </c>
      <c r="O35" s="1">
        <v>16</v>
      </c>
      <c r="P35" s="1"/>
      <c r="Q35" s="8"/>
      <c r="R35" s="1"/>
    </row>
    <row r="36" spans="1:18" x14ac:dyDescent="0.25">
      <c r="A36" s="1">
        <v>33</v>
      </c>
      <c r="B36" s="1" t="s">
        <v>46</v>
      </c>
      <c r="C36" s="1" t="s">
        <v>47</v>
      </c>
      <c r="D36" s="1">
        <v>31</v>
      </c>
      <c r="E36" s="1">
        <v>15</v>
      </c>
      <c r="F36" s="1">
        <v>7</v>
      </c>
      <c r="G36" s="1">
        <v>22</v>
      </c>
      <c r="H36" s="2">
        <v>0.68200000000000005</v>
      </c>
      <c r="I36" s="1">
        <v>2</v>
      </c>
      <c r="J36" s="1">
        <v>1</v>
      </c>
      <c r="K36" s="1">
        <v>1</v>
      </c>
      <c r="L36" s="7">
        <f t="shared" si="0"/>
        <v>15.5</v>
      </c>
      <c r="M36" s="1">
        <v>228</v>
      </c>
      <c r="N36" s="1">
        <v>195</v>
      </c>
      <c r="O36" s="1">
        <v>33</v>
      </c>
      <c r="P36" s="1"/>
      <c r="Q36" s="8"/>
      <c r="R36" s="1"/>
    </row>
    <row r="37" spans="1:18" x14ac:dyDescent="0.25">
      <c r="A37" s="1">
        <v>35</v>
      </c>
      <c r="B37" s="1" t="s">
        <v>48</v>
      </c>
      <c r="C37" s="1" t="s">
        <v>8</v>
      </c>
      <c r="D37" s="1">
        <v>30</v>
      </c>
      <c r="E37" s="1">
        <v>13</v>
      </c>
      <c r="F37" s="1">
        <v>9</v>
      </c>
      <c r="G37" s="1">
        <v>22</v>
      </c>
      <c r="H37" s="2">
        <v>0.59099999999999997</v>
      </c>
      <c r="I37" s="1">
        <v>2</v>
      </c>
      <c r="J37" s="1">
        <v>1</v>
      </c>
      <c r="K37" s="1">
        <v>2</v>
      </c>
      <c r="L37" s="7">
        <f t="shared" si="0"/>
        <v>15</v>
      </c>
      <c r="M37" s="1">
        <v>215</v>
      </c>
      <c r="N37" s="1">
        <v>200</v>
      </c>
      <c r="O37" s="1">
        <v>15</v>
      </c>
      <c r="P37" s="1"/>
      <c r="Q37" s="8"/>
      <c r="R37" s="1"/>
    </row>
    <row r="38" spans="1:18" x14ac:dyDescent="0.25">
      <c r="A38" s="1">
        <v>36</v>
      </c>
      <c r="B38" s="1" t="s">
        <v>49</v>
      </c>
      <c r="C38" s="1" t="s">
        <v>17</v>
      </c>
      <c r="D38" s="1">
        <v>25</v>
      </c>
      <c r="E38" s="1">
        <v>11</v>
      </c>
      <c r="F38" s="1">
        <v>0</v>
      </c>
      <c r="G38" s="1">
        <v>11</v>
      </c>
      <c r="H38" s="3">
        <v>1</v>
      </c>
      <c r="I38" s="1">
        <v>1</v>
      </c>
      <c r="J38" s="1">
        <v>1</v>
      </c>
      <c r="K38" s="1">
        <v>1</v>
      </c>
      <c r="L38" s="7">
        <f t="shared" si="0"/>
        <v>25</v>
      </c>
      <c r="M38" s="1">
        <v>123</v>
      </c>
      <c r="N38" s="1">
        <v>78</v>
      </c>
      <c r="O38" s="1">
        <v>45</v>
      </c>
      <c r="P38" s="1"/>
      <c r="Q38" s="8"/>
      <c r="R38" s="1"/>
    </row>
    <row r="39" spans="1:18" x14ac:dyDescent="0.25">
      <c r="A39" s="1">
        <v>37</v>
      </c>
      <c r="B39" s="1" t="s">
        <v>50</v>
      </c>
      <c r="C39" s="1" t="s">
        <v>8</v>
      </c>
      <c r="D39" s="1">
        <v>23</v>
      </c>
      <c r="E39" s="1">
        <v>15</v>
      </c>
      <c r="F39" s="1">
        <v>18</v>
      </c>
      <c r="G39" s="1">
        <v>33</v>
      </c>
      <c r="H39" s="2">
        <v>0.45500000000000002</v>
      </c>
      <c r="I39" s="1">
        <v>3</v>
      </c>
      <c r="J39" s="1">
        <v>1</v>
      </c>
      <c r="K39" s="1">
        <v>2</v>
      </c>
      <c r="L39" s="7">
        <f t="shared" si="0"/>
        <v>7.666666666666667</v>
      </c>
      <c r="M39" s="1">
        <v>316</v>
      </c>
      <c r="N39" s="1">
        <v>348</v>
      </c>
      <c r="O39" s="1">
        <v>-32</v>
      </c>
      <c r="P39" s="1">
        <v>0</v>
      </c>
      <c r="Q39" s="8">
        <f t="shared" si="1"/>
        <v>0</v>
      </c>
      <c r="R39" s="1"/>
    </row>
    <row r="40" spans="1:18" x14ac:dyDescent="0.25">
      <c r="A40" s="1">
        <v>37</v>
      </c>
      <c r="B40" s="1" t="s">
        <v>51</v>
      </c>
      <c r="C40" s="1" t="s">
        <v>26</v>
      </c>
      <c r="D40" s="1">
        <v>23</v>
      </c>
      <c r="E40" s="1">
        <v>11</v>
      </c>
      <c r="F40" s="1">
        <v>11</v>
      </c>
      <c r="G40" s="1">
        <v>22</v>
      </c>
      <c r="H40" s="3">
        <v>0.5</v>
      </c>
      <c r="I40" s="1">
        <v>2</v>
      </c>
      <c r="J40" s="1">
        <v>0</v>
      </c>
      <c r="K40" s="1">
        <v>7</v>
      </c>
      <c r="L40" s="7">
        <f t="shared" si="0"/>
        <v>11.5</v>
      </c>
      <c r="M40" s="1">
        <v>219</v>
      </c>
      <c r="N40" s="1">
        <v>223</v>
      </c>
      <c r="O40" s="1">
        <v>-4</v>
      </c>
      <c r="P40" s="1"/>
      <c r="Q40" s="8"/>
      <c r="R40" s="1"/>
    </row>
    <row r="41" spans="1:18" x14ac:dyDescent="0.25">
      <c r="A41" s="1">
        <v>39</v>
      </c>
      <c r="B41" s="1" t="s">
        <v>52</v>
      </c>
      <c r="C41" s="1" t="s">
        <v>8</v>
      </c>
      <c r="D41" s="1">
        <v>22</v>
      </c>
      <c r="E41" s="1">
        <v>13</v>
      </c>
      <c r="F41" s="1">
        <v>9</v>
      </c>
      <c r="G41" s="1">
        <v>22</v>
      </c>
      <c r="H41" s="2">
        <v>0.59099999999999997</v>
      </c>
      <c r="I41" s="1">
        <v>2</v>
      </c>
      <c r="J41" s="1">
        <v>1</v>
      </c>
      <c r="K41" s="1">
        <v>1</v>
      </c>
      <c r="L41" s="7">
        <f t="shared" si="0"/>
        <v>11</v>
      </c>
      <c r="M41" s="1">
        <v>232</v>
      </c>
      <c r="N41" s="1">
        <v>216</v>
      </c>
      <c r="O41" s="1">
        <v>16</v>
      </c>
      <c r="P41" s="1">
        <v>0</v>
      </c>
      <c r="Q41" s="8">
        <f t="shared" si="1"/>
        <v>0</v>
      </c>
      <c r="R41" s="1">
        <v>0.25</v>
      </c>
    </row>
    <row r="42" spans="1:18" x14ac:dyDescent="0.25">
      <c r="A42" s="1">
        <v>39</v>
      </c>
      <c r="B42" s="1" t="s">
        <v>53</v>
      </c>
      <c r="C42" s="1" t="s">
        <v>54</v>
      </c>
      <c r="D42" s="1">
        <v>22</v>
      </c>
      <c r="E42" s="1">
        <v>11</v>
      </c>
      <c r="F42" s="1">
        <v>22</v>
      </c>
      <c r="G42" s="1">
        <v>33</v>
      </c>
      <c r="H42" s="2">
        <v>0.33300000000000002</v>
      </c>
      <c r="I42" s="1">
        <v>3</v>
      </c>
      <c r="J42" s="1">
        <v>0</v>
      </c>
      <c r="K42" s="1">
        <v>9</v>
      </c>
      <c r="L42" s="7">
        <f t="shared" si="0"/>
        <v>7.333333333333333</v>
      </c>
      <c r="M42" s="1">
        <v>301</v>
      </c>
      <c r="N42" s="1">
        <v>346</v>
      </c>
      <c r="O42" s="1">
        <v>-45</v>
      </c>
      <c r="P42" s="1">
        <v>1</v>
      </c>
      <c r="Q42" s="8">
        <f t="shared" si="1"/>
        <v>0.33333333333333331</v>
      </c>
      <c r="R42" s="1"/>
    </row>
    <row r="43" spans="1:18" x14ac:dyDescent="0.25">
      <c r="A43" s="1">
        <v>39</v>
      </c>
      <c r="B43" s="1" t="s">
        <v>55</v>
      </c>
      <c r="C43" s="1" t="s">
        <v>8</v>
      </c>
      <c r="D43" s="1">
        <v>22</v>
      </c>
      <c r="E43" s="1">
        <v>7</v>
      </c>
      <c r="F43" s="1">
        <v>4</v>
      </c>
      <c r="G43" s="1">
        <v>11</v>
      </c>
      <c r="H43" s="2">
        <v>0.63600000000000001</v>
      </c>
      <c r="I43" s="1">
        <v>1</v>
      </c>
      <c r="J43" s="1">
        <v>1</v>
      </c>
      <c r="K43" s="1">
        <v>3</v>
      </c>
      <c r="L43" s="7">
        <f t="shared" si="0"/>
        <v>22</v>
      </c>
      <c r="M43" s="1">
        <v>116</v>
      </c>
      <c r="N43" s="1">
        <v>101</v>
      </c>
      <c r="O43" s="1">
        <v>15</v>
      </c>
      <c r="P43" s="1"/>
      <c r="Q43" s="8"/>
      <c r="R43" s="1"/>
    </row>
    <row r="44" spans="1:18" x14ac:dyDescent="0.25">
      <c r="A44" s="1">
        <v>42</v>
      </c>
      <c r="B44" s="1" t="s">
        <v>56</v>
      </c>
      <c r="C44" s="1" t="s">
        <v>8</v>
      </c>
      <c r="D44" s="1">
        <v>21</v>
      </c>
      <c r="E44" s="1">
        <v>12</v>
      </c>
      <c r="F44" s="1">
        <v>10</v>
      </c>
      <c r="G44" s="1">
        <v>22</v>
      </c>
      <c r="H44" s="2">
        <v>0.54500000000000004</v>
      </c>
      <c r="I44" s="1">
        <v>2</v>
      </c>
      <c r="J44" s="1">
        <v>1</v>
      </c>
      <c r="K44" s="1">
        <v>2</v>
      </c>
      <c r="L44" s="7">
        <f t="shared" si="0"/>
        <v>10.5</v>
      </c>
      <c r="M44" s="1">
        <v>233</v>
      </c>
      <c r="N44" s="1">
        <v>218</v>
      </c>
      <c r="O44" s="1">
        <v>15</v>
      </c>
      <c r="P44" s="1"/>
      <c r="Q44" s="8"/>
      <c r="R44" s="1"/>
    </row>
    <row r="45" spans="1:18" x14ac:dyDescent="0.25">
      <c r="A45" s="1">
        <v>42</v>
      </c>
      <c r="B45" s="1" t="s">
        <v>57</v>
      </c>
      <c r="C45" s="1" t="s">
        <v>43</v>
      </c>
      <c r="D45" s="1">
        <v>21</v>
      </c>
      <c r="E45" s="1">
        <v>8</v>
      </c>
      <c r="F45" s="1">
        <v>3</v>
      </c>
      <c r="G45" s="1">
        <v>11</v>
      </c>
      <c r="H45" s="2">
        <v>0.72699999999999998</v>
      </c>
      <c r="I45" s="1">
        <v>1</v>
      </c>
      <c r="J45" s="1">
        <v>0</v>
      </c>
      <c r="K45" s="1">
        <v>4</v>
      </c>
      <c r="L45" s="7">
        <f t="shared" si="0"/>
        <v>21</v>
      </c>
      <c r="M45" s="1">
        <v>111</v>
      </c>
      <c r="N45" s="1">
        <v>87</v>
      </c>
      <c r="O45" s="1">
        <v>24</v>
      </c>
      <c r="P45" s="1"/>
      <c r="Q45" s="8"/>
      <c r="R45" s="1"/>
    </row>
    <row r="46" spans="1:18" x14ac:dyDescent="0.25">
      <c r="A46" s="1">
        <v>44</v>
      </c>
      <c r="B46" s="1" t="s">
        <v>58</v>
      </c>
      <c r="C46" s="1" t="s">
        <v>8</v>
      </c>
      <c r="D46" s="1">
        <v>20</v>
      </c>
      <c r="E46" s="1">
        <v>11</v>
      </c>
      <c r="F46" s="1">
        <v>22</v>
      </c>
      <c r="G46" s="1">
        <v>33</v>
      </c>
      <c r="H46" s="2">
        <v>0.33300000000000002</v>
      </c>
      <c r="I46" s="1">
        <v>3</v>
      </c>
      <c r="J46" s="1">
        <v>0</v>
      </c>
      <c r="K46" s="1">
        <v>8</v>
      </c>
      <c r="L46" s="7">
        <f t="shared" si="0"/>
        <v>6.666666666666667</v>
      </c>
      <c r="M46" s="1">
        <v>294</v>
      </c>
      <c r="N46" s="1">
        <v>342</v>
      </c>
      <c r="O46" s="1">
        <v>-48</v>
      </c>
      <c r="P46" s="1">
        <v>1</v>
      </c>
      <c r="Q46" s="8">
        <f t="shared" si="1"/>
        <v>0.33333333333333331</v>
      </c>
      <c r="R46" s="1"/>
    </row>
    <row r="47" spans="1:18" x14ac:dyDescent="0.25">
      <c r="A47" s="1">
        <v>45</v>
      </c>
      <c r="B47" s="1" t="s">
        <v>59</v>
      </c>
      <c r="C47" s="1" t="s">
        <v>8</v>
      </c>
      <c r="D47" s="1">
        <v>19</v>
      </c>
      <c r="E47" s="1">
        <v>12</v>
      </c>
      <c r="F47" s="1">
        <v>21</v>
      </c>
      <c r="G47" s="1">
        <v>33</v>
      </c>
      <c r="H47" s="2">
        <v>0.36399999999999999</v>
      </c>
      <c r="I47" s="1">
        <v>3</v>
      </c>
      <c r="J47" s="1">
        <v>0</v>
      </c>
      <c r="K47" s="1">
        <v>6</v>
      </c>
      <c r="L47" s="7">
        <f t="shared" si="0"/>
        <v>6.333333333333333</v>
      </c>
      <c r="M47" s="1">
        <v>314</v>
      </c>
      <c r="N47" s="1">
        <v>344</v>
      </c>
      <c r="O47" s="1">
        <v>-30</v>
      </c>
      <c r="P47" s="1"/>
      <c r="Q47" s="8"/>
      <c r="R47" s="1"/>
    </row>
    <row r="48" spans="1:18" x14ac:dyDescent="0.25">
      <c r="A48" s="1">
        <v>45</v>
      </c>
      <c r="B48" s="1" t="s">
        <v>60</v>
      </c>
      <c r="C48" s="1" t="s">
        <v>8</v>
      </c>
      <c r="D48" s="1">
        <v>19</v>
      </c>
      <c r="E48" s="1">
        <v>7</v>
      </c>
      <c r="F48" s="1">
        <v>4</v>
      </c>
      <c r="G48" s="1">
        <v>11</v>
      </c>
      <c r="H48" s="2">
        <v>0.63600000000000001</v>
      </c>
      <c r="I48" s="1">
        <v>1</v>
      </c>
      <c r="J48" s="1">
        <v>0</v>
      </c>
      <c r="K48" s="1">
        <v>9</v>
      </c>
      <c r="L48" s="7">
        <f t="shared" si="0"/>
        <v>19</v>
      </c>
      <c r="M48" s="1">
        <v>123</v>
      </c>
      <c r="N48" s="1">
        <v>111</v>
      </c>
      <c r="O48" s="1">
        <v>12</v>
      </c>
      <c r="P48" s="1"/>
      <c r="Q48" s="8"/>
      <c r="R48" s="1"/>
    </row>
    <row r="49" spans="1:18" x14ac:dyDescent="0.25">
      <c r="A49" s="1">
        <v>45</v>
      </c>
      <c r="B49" s="1" t="s">
        <v>61</v>
      </c>
      <c r="C49" s="1" t="s">
        <v>8</v>
      </c>
      <c r="D49" s="1">
        <v>19</v>
      </c>
      <c r="E49" s="1">
        <v>14</v>
      </c>
      <c r="F49" s="1">
        <v>8</v>
      </c>
      <c r="G49" s="1">
        <v>22</v>
      </c>
      <c r="H49" s="2">
        <v>0.63600000000000001</v>
      </c>
      <c r="I49" s="1">
        <v>2</v>
      </c>
      <c r="J49" s="1">
        <v>1</v>
      </c>
      <c r="K49" s="1">
        <v>3</v>
      </c>
      <c r="L49" s="7">
        <f t="shared" si="0"/>
        <v>9.5</v>
      </c>
      <c r="M49" s="1">
        <v>230</v>
      </c>
      <c r="N49" s="1">
        <v>209</v>
      </c>
      <c r="O49" s="1">
        <v>21</v>
      </c>
      <c r="P49" s="1"/>
      <c r="Q49" s="8"/>
      <c r="R49" s="1"/>
    </row>
    <row r="50" spans="1:18" x14ac:dyDescent="0.25">
      <c r="A50" s="1">
        <v>48</v>
      </c>
      <c r="B50" s="1" t="s">
        <v>62</v>
      </c>
      <c r="C50" s="1" t="s">
        <v>8</v>
      </c>
      <c r="D50" s="1">
        <v>17</v>
      </c>
      <c r="E50" s="1">
        <v>8</v>
      </c>
      <c r="F50" s="1">
        <v>3</v>
      </c>
      <c r="G50" s="1">
        <v>11</v>
      </c>
      <c r="H50" s="2">
        <v>0.72699999999999998</v>
      </c>
      <c r="I50" s="1">
        <v>1</v>
      </c>
      <c r="J50" s="1">
        <v>1</v>
      </c>
      <c r="K50" s="1">
        <v>1</v>
      </c>
      <c r="L50" s="7">
        <f t="shared" si="0"/>
        <v>17</v>
      </c>
      <c r="M50" s="1">
        <v>118</v>
      </c>
      <c r="N50" s="1">
        <v>103</v>
      </c>
      <c r="O50" s="1">
        <v>15</v>
      </c>
      <c r="P50" s="1"/>
      <c r="Q50" s="8"/>
      <c r="R50" s="1">
        <v>0.5</v>
      </c>
    </row>
    <row r="51" spans="1:18" x14ac:dyDescent="0.25">
      <c r="A51" s="1">
        <v>49</v>
      </c>
      <c r="B51" s="1" t="s">
        <v>63</v>
      </c>
      <c r="C51" s="1" t="s">
        <v>54</v>
      </c>
      <c r="D51" s="1">
        <v>16</v>
      </c>
      <c r="E51" s="1">
        <v>6</v>
      </c>
      <c r="F51" s="1">
        <v>5</v>
      </c>
      <c r="G51" s="1">
        <v>11</v>
      </c>
      <c r="H51" s="2">
        <v>0.54500000000000004</v>
      </c>
      <c r="I51" s="1">
        <v>1</v>
      </c>
      <c r="J51" s="1">
        <v>0</v>
      </c>
      <c r="K51" s="1">
        <v>14</v>
      </c>
      <c r="L51" s="7">
        <f t="shared" si="0"/>
        <v>16</v>
      </c>
      <c r="M51" s="1">
        <v>113</v>
      </c>
      <c r="N51" s="1">
        <v>103</v>
      </c>
      <c r="O51" s="1">
        <v>10</v>
      </c>
      <c r="P51" s="1"/>
      <c r="Q51" s="8"/>
      <c r="R51" s="1"/>
    </row>
    <row r="52" spans="1:18" x14ac:dyDescent="0.25">
      <c r="A52" s="1">
        <v>49</v>
      </c>
      <c r="B52" s="1" t="s">
        <v>64</v>
      </c>
      <c r="C52" s="1" t="s">
        <v>8</v>
      </c>
      <c r="D52" s="1">
        <v>16</v>
      </c>
      <c r="E52" s="1">
        <v>6</v>
      </c>
      <c r="F52" s="1">
        <v>5</v>
      </c>
      <c r="G52" s="1">
        <v>11</v>
      </c>
      <c r="H52" s="2">
        <v>0.54500000000000004</v>
      </c>
      <c r="I52" s="1">
        <v>1</v>
      </c>
      <c r="J52" s="1">
        <v>0</v>
      </c>
      <c r="K52" s="1">
        <v>15</v>
      </c>
      <c r="L52" s="7">
        <f t="shared" si="0"/>
        <v>16</v>
      </c>
      <c r="M52" s="1">
        <v>105</v>
      </c>
      <c r="N52" s="1">
        <v>97</v>
      </c>
      <c r="O52" s="1">
        <v>8</v>
      </c>
      <c r="P52" s="1">
        <v>1</v>
      </c>
      <c r="Q52" s="8">
        <f t="shared" si="1"/>
        <v>1</v>
      </c>
      <c r="R52" s="1"/>
    </row>
    <row r="53" spans="1:18" x14ac:dyDescent="0.25">
      <c r="A53" s="1">
        <v>51</v>
      </c>
      <c r="B53" s="1" t="s">
        <v>65</v>
      </c>
      <c r="C53" s="1" t="s">
        <v>8</v>
      </c>
      <c r="D53" s="1">
        <v>15</v>
      </c>
      <c r="E53" s="1">
        <v>6</v>
      </c>
      <c r="F53" s="1">
        <v>5</v>
      </c>
      <c r="G53" s="1">
        <v>11</v>
      </c>
      <c r="H53" s="2">
        <v>0.54500000000000004</v>
      </c>
      <c r="I53" s="1">
        <v>1</v>
      </c>
      <c r="J53" s="1">
        <v>0</v>
      </c>
      <c r="K53" s="1">
        <v>16</v>
      </c>
      <c r="L53" s="7">
        <f t="shared" si="0"/>
        <v>15</v>
      </c>
      <c r="M53" s="1">
        <v>112</v>
      </c>
      <c r="N53" s="1">
        <v>105</v>
      </c>
      <c r="O53" s="1">
        <v>7</v>
      </c>
      <c r="P53" s="1"/>
      <c r="Q53" s="8"/>
      <c r="R53" s="1"/>
    </row>
    <row r="54" spans="1:18" x14ac:dyDescent="0.25">
      <c r="A54" s="1">
        <v>51</v>
      </c>
      <c r="B54" s="1" t="s">
        <v>66</v>
      </c>
      <c r="C54" s="1" t="s">
        <v>8</v>
      </c>
      <c r="D54" s="1">
        <v>15</v>
      </c>
      <c r="E54" s="1">
        <v>6</v>
      </c>
      <c r="F54" s="1">
        <v>5</v>
      </c>
      <c r="G54" s="1">
        <v>11</v>
      </c>
      <c r="H54" s="2">
        <v>0.54500000000000004</v>
      </c>
      <c r="I54" s="1">
        <v>1</v>
      </c>
      <c r="J54" s="1">
        <v>0</v>
      </c>
      <c r="K54" s="1">
        <v>16</v>
      </c>
      <c r="L54" s="7">
        <f t="shared" si="0"/>
        <v>15</v>
      </c>
      <c r="M54" s="1">
        <v>103</v>
      </c>
      <c r="N54" s="1">
        <v>107</v>
      </c>
      <c r="O54" s="1">
        <v>-4</v>
      </c>
      <c r="P54" s="1"/>
      <c r="Q54" s="8"/>
      <c r="R54" s="1"/>
    </row>
    <row r="55" spans="1:18" x14ac:dyDescent="0.25">
      <c r="A55" s="1">
        <v>53</v>
      </c>
      <c r="B55" s="1" t="s">
        <v>67</v>
      </c>
      <c r="C55" s="1" t="s">
        <v>8</v>
      </c>
      <c r="D55" s="1">
        <v>14</v>
      </c>
      <c r="E55" s="1">
        <v>5</v>
      </c>
      <c r="F55" s="1">
        <v>6</v>
      </c>
      <c r="G55" s="1">
        <v>11</v>
      </c>
      <c r="H55" s="2">
        <v>0.45500000000000002</v>
      </c>
      <c r="I55" s="1">
        <v>1</v>
      </c>
      <c r="J55" s="1">
        <v>0</v>
      </c>
      <c r="K55" s="1">
        <v>19</v>
      </c>
      <c r="L55" s="7">
        <f t="shared" si="0"/>
        <v>14</v>
      </c>
      <c r="M55" s="1">
        <v>103</v>
      </c>
      <c r="N55" s="1">
        <v>108</v>
      </c>
      <c r="O55" s="1">
        <v>-5</v>
      </c>
      <c r="P55" s="1"/>
      <c r="Q55" s="8"/>
      <c r="R55" s="1"/>
    </row>
    <row r="56" spans="1:18" x14ac:dyDescent="0.25">
      <c r="A56" s="1">
        <v>53</v>
      </c>
      <c r="B56" s="1" t="s">
        <v>68</v>
      </c>
      <c r="C56" s="1" t="s">
        <v>8</v>
      </c>
      <c r="D56" s="1">
        <v>14</v>
      </c>
      <c r="E56" s="1">
        <v>6</v>
      </c>
      <c r="F56" s="1">
        <v>5</v>
      </c>
      <c r="G56" s="1">
        <v>11</v>
      </c>
      <c r="H56" s="2">
        <v>0.54500000000000004</v>
      </c>
      <c r="I56" s="1">
        <v>1</v>
      </c>
      <c r="J56" s="1">
        <v>0</v>
      </c>
      <c r="K56" s="1">
        <v>18</v>
      </c>
      <c r="L56" s="7">
        <f t="shared" si="0"/>
        <v>14</v>
      </c>
      <c r="M56" s="1">
        <v>110</v>
      </c>
      <c r="N56" s="1">
        <v>106</v>
      </c>
      <c r="O56" s="1">
        <v>4</v>
      </c>
      <c r="P56" s="1"/>
      <c r="Q56" s="8"/>
      <c r="R56" s="1"/>
    </row>
    <row r="57" spans="1:18" x14ac:dyDescent="0.25">
      <c r="A57" s="1">
        <v>55</v>
      </c>
      <c r="B57" s="1" t="s">
        <v>69</v>
      </c>
      <c r="C57" s="1" t="s">
        <v>8</v>
      </c>
      <c r="D57" s="1">
        <v>13</v>
      </c>
      <c r="E57" s="1">
        <v>5</v>
      </c>
      <c r="F57" s="1">
        <v>6</v>
      </c>
      <c r="G57" s="1">
        <v>11</v>
      </c>
      <c r="H57" s="2">
        <v>0.45500000000000002</v>
      </c>
      <c r="I57" s="1">
        <v>1</v>
      </c>
      <c r="J57" s="1">
        <v>0</v>
      </c>
      <c r="K57" s="1">
        <v>21</v>
      </c>
      <c r="L57" s="7">
        <f t="shared" si="0"/>
        <v>13</v>
      </c>
      <c r="M57" s="1">
        <v>99</v>
      </c>
      <c r="N57" s="1">
        <v>102</v>
      </c>
      <c r="O57" s="1">
        <v>-3</v>
      </c>
      <c r="P57" s="1"/>
      <c r="Q57" s="8"/>
      <c r="R57" s="1"/>
    </row>
    <row r="58" spans="1:18" x14ac:dyDescent="0.25">
      <c r="A58" s="1">
        <v>55</v>
      </c>
      <c r="B58" s="1" t="s">
        <v>70</v>
      </c>
      <c r="C58" s="1" t="s">
        <v>8</v>
      </c>
      <c r="D58" s="1">
        <v>13</v>
      </c>
      <c r="E58" s="1">
        <v>7</v>
      </c>
      <c r="F58" s="1">
        <v>15</v>
      </c>
      <c r="G58" s="1">
        <v>22</v>
      </c>
      <c r="H58" s="2">
        <v>0.318</v>
      </c>
      <c r="I58" s="1">
        <v>2</v>
      </c>
      <c r="J58" s="1">
        <v>0</v>
      </c>
      <c r="K58" s="1">
        <v>11</v>
      </c>
      <c r="L58" s="7">
        <f t="shared" si="0"/>
        <v>6.5</v>
      </c>
      <c r="M58" s="1">
        <v>203</v>
      </c>
      <c r="N58" s="1">
        <v>236</v>
      </c>
      <c r="O58" s="1">
        <v>-33</v>
      </c>
      <c r="P58" s="1"/>
      <c r="Q58" s="8"/>
      <c r="R58" s="1"/>
    </row>
    <row r="59" spans="1:18" x14ac:dyDescent="0.25">
      <c r="A59" s="1">
        <v>57</v>
      </c>
      <c r="B59" s="1" t="s">
        <v>71</v>
      </c>
      <c r="C59" s="1" t="s">
        <v>8</v>
      </c>
      <c r="D59" s="1">
        <v>9</v>
      </c>
      <c r="E59" s="1">
        <v>3</v>
      </c>
      <c r="F59" s="1">
        <v>8</v>
      </c>
      <c r="G59" s="1">
        <v>11</v>
      </c>
      <c r="H59" s="2">
        <v>0.27300000000000002</v>
      </c>
      <c r="I59" s="1">
        <v>1</v>
      </c>
      <c r="J59" s="1">
        <v>0</v>
      </c>
      <c r="K59" s="1">
        <v>28</v>
      </c>
      <c r="L59" s="7">
        <f t="shared" si="0"/>
        <v>9</v>
      </c>
      <c r="M59" s="1">
        <v>105</v>
      </c>
      <c r="N59" s="1">
        <v>116</v>
      </c>
      <c r="O59" s="1">
        <v>-11</v>
      </c>
      <c r="P59" s="1">
        <v>1</v>
      </c>
      <c r="Q59" s="8">
        <f t="shared" si="1"/>
        <v>1</v>
      </c>
      <c r="R59" s="1"/>
    </row>
    <row r="60" spans="1:18" x14ac:dyDescent="0.25">
      <c r="A60" s="1">
        <v>57</v>
      </c>
      <c r="B60" s="1" t="s">
        <v>72</v>
      </c>
      <c r="C60" s="1" t="s">
        <v>8</v>
      </c>
      <c r="D60" s="1">
        <v>9</v>
      </c>
      <c r="E60" s="1">
        <v>7</v>
      </c>
      <c r="F60" s="1">
        <v>4</v>
      </c>
      <c r="G60" s="1">
        <v>11</v>
      </c>
      <c r="H60" s="2">
        <v>0.63600000000000001</v>
      </c>
      <c r="I60" s="1">
        <v>1</v>
      </c>
      <c r="J60" s="1">
        <v>0</v>
      </c>
      <c r="K60" s="1">
        <v>4</v>
      </c>
      <c r="L60" s="7">
        <f t="shared" si="0"/>
        <v>9</v>
      </c>
      <c r="M60" s="1">
        <v>113</v>
      </c>
      <c r="N60" s="1">
        <v>97</v>
      </c>
      <c r="O60" s="1">
        <v>16</v>
      </c>
      <c r="P60" s="1"/>
      <c r="Q60" s="8"/>
      <c r="R60" s="1"/>
    </row>
    <row r="61" spans="1:18" x14ac:dyDescent="0.25">
      <c r="A61" s="1">
        <v>59</v>
      </c>
      <c r="B61" s="1" t="s">
        <v>73</v>
      </c>
      <c r="C61" s="1" t="s">
        <v>8</v>
      </c>
      <c r="D61" s="1">
        <v>7</v>
      </c>
      <c r="E61" s="1">
        <v>2</v>
      </c>
      <c r="F61" s="1">
        <v>8</v>
      </c>
      <c r="G61" s="1">
        <v>10</v>
      </c>
      <c r="H61" s="3">
        <v>0.2</v>
      </c>
      <c r="I61" s="1">
        <v>1</v>
      </c>
      <c r="J61" s="1">
        <v>0</v>
      </c>
      <c r="K61" s="1">
        <v>33</v>
      </c>
      <c r="L61" s="7">
        <f t="shared" si="0"/>
        <v>7</v>
      </c>
      <c r="M61" s="1">
        <v>83</v>
      </c>
      <c r="N61" s="1">
        <v>109</v>
      </c>
      <c r="O61" s="1">
        <v>-26</v>
      </c>
      <c r="P61" s="1"/>
      <c r="Q61" s="8"/>
      <c r="R61" s="1"/>
    </row>
    <row r="62" spans="1:18" x14ac:dyDescent="0.25">
      <c r="A62" s="1">
        <v>59</v>
      </c>
      <c r="B62" s="1" t="s">
        <v>74</v>
      </c>
      <c r="C62" s="1" t="s">
        <v>8</v>
      </c>
      <c r="D62" s="1">
        <v>7</v>
      </c>
      <c r="E62" s="1">
        <v>2</v>
      </c>
      <c r="F62" s="1">
        <v>9</v>
      </c>
      <c r="G62" s="1">
        <v>11</v>
      </c>
      <c r="H62" s="2">
        <v>0.182</v>
      </c>
      <c r="I62" s="1">
        <v>1</v>
      </c>
      <c r="J62" s="1">
        <v>0</v>
      </c>
      <c r="K62" s="1">
        <v>33</v>
      </c>
      <c r="L62" s="7">
        <f t="shared" si="0"/>
        <v>7</v>
      </c>
      <c r="M62" s="1">
        <v>84</v>
      </c>
      <c r="N62" s="1">
        <v>119</v>
      </c>
      <c r="O62" s="1">
        <v>-35</v>
      </c>
      <c r="P62" s="1">
        <v>1</v>
      </c>
      <c r="Q62" s="8">
        <f t="shared" si="1"/>
        <v>1</v>
      </c>
      <c r="R62" s="1"/>
    </row>
    <row r="63" spans="1:18" x14ac:dyDescent="0.25">
      <c r="A63" s="1">
        <v>59</v>
      </c>
      <c r="B63" s="1" t="s">
        <v>75</v>
      </c>
      <c r="C63" s="1" t="s">
        <v>8</v>
      </c>
      <c r="D63" s="1">
        <v>7</v>
      </c>
      <c r="E63" s="1">
        <v>5</v>
      </c>
      <c r="F63" s="1">
        <v>6</v>
      </c>
      <c r="G63" s="1">
        <v>11</v>
      </c>
      <c r="H63" s="2">
        <v>0.45500000000000002</v>
      </c>
      <c r="I63" s="1">
        <v>1</v>
      </c>
      <c r="J63" s="1">
        <v>0</v>
      </c>
      <c r="K63" s="1">
        <v>9</v>
      </c>
      <c r="L63" s="7">
        <f t="shared" si="0"/>
        <v>7</v>
      </c>
      <c r="M63" s="1">
        <v>108</v>
      </c>
      <c r="N63" s="1">
        <v>117</v>
      </c>
      <c r="O63" s="1">
        <v>-9</v>
      </c>
      <c r="P63" s="1">
        <v>0</v>
      </c>
      <c r="Q63" s="8">
        <f t="shared" si="1"/>
        <v>0</v>
      </c>
      <c r="R63" s="1"/>
    </row>
    <row r="64" spans="1:18" x14ac:dyDescent="0.25">
      <c r="A64" s="1">
        <v>62</v>
      </c>
      <c r="B64" s="1" t="s">
        <v>76</v>
      </c>
      <c r="C64" s="1" t="s">
        <v>54</v>
      </c>
      <c r="D64" s="1">
        <v>6</v>
      </c>
      <c r="E64" s="1">
        <v>1</v>
      </c>
      <c r="F64" s="1">
        <v>10</v>
      </c>
      <c r="G64" s="1">
        <v>11</v>
      </c>
      <c r="H64" s="2">
        <v>9.0999999999999998E-2</v>
      </c>
      <c r="I64" s="1">
        <v>1</v>
      </c>
      <c r="J64" s="1">
        <v>0</v>
      </c>
      <c r="K64" s="1">
        <v>35</v>
      </c>
      <c r="L64" s="7">
        <f t="shared" si="0"/>
        <v>6</v>
      </c>
      <c r="M64" s="1">
        <v>80</v>
      </c>
      <c r="N64" s="1">
        <v>124</v>
      </c>
      <c r="O64" s="1">
        <v>-44</v>
      </c>
      <c r="P64" s="1"/>
      <c r="Q64" s="8"/>
      <c r="R64" s="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Player-Rankings-qPZaoc9bT9aNH9p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David Huber</cp:lastModifiedBy>
  <dcterms:created xsi:type="dcterms:W3CDTF">2026-10-06T23:20:50Z</dcterms:created>
  <dcterms:modified xsi:type="dcterms:W3CDTF">2026-10-06T23:20:51Z</dcterms:modified>
</cp:coreProperties>
</file>