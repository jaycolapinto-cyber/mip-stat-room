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FFDE858F-C371-4289-A7DA-83918EDE55E7}" xr6:coauthVersionLast="47" xr6:coauthVersionMax="47" xr10:uidLastSave="{00000000-0000-0000-0000-000000000000}"/>
  <bookViews>
    <workbookView xWindow="-120" yWindow="-120" windowWidth="29040" windowHeight="15720" xr2:uid="{856D0785-3A80-4003-A3F9-DE7E94631E21}"/>
  </bookViews>
  <sheets>
    <sheet name="Player-Rankings-ytHsDHiSEPVfgTG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2" i="1"/>
</calcChain>
</file>

<file path=xl/sharedStrings.xml><?xml version="1.0" encoding="utf-8"?>
<sst xmlns="http://schemas.openxmlformats.org/spreadsheetml/2006/main" count="100" uniqueCount="64">
  <si>
    <t>Rank</t>
  </si>
  <si>
    <t>Name</t>
  </si>
  <si>
    <t>Club</t>
  </si>
  <si>
    <t>Points</t>
  </si>
  <si>
    <t>Wins</t>
  </si>
  <si>
    <t>Losses</t>
  </si>
  <si>
    <t>Win %</t>
  </si>
  <si>
    <t>David Huber</t>
  </si>
  <si>
    <t>Merrick in a pickle</t>
  </si>
  <si>
    <t>Vincent Cusumano</t>
  </si>
  <si>
    <t>Eran Dekel</t>
  </si>
  <si>
    <t>Scott Miller</t>
  </si>
  <si>
    <t>Kelli Mullahey</t>
  </si>
  <si>
    <t>Louise Ganitis</t>
  </si>
  <si>
    <t>Erik Deangelis</t>
  </si>
  <si>
    <t>PxP PC</t>
  </si>
  <si>
    <t>Frank Rossetti</t>
  </si>
  <si>
    <t>Jonathan Mcmilleon</t>
  </si>
  <si>
    <t>Danny Marino</t>
  </si>
  <si>
    <t>Renata Pisani</t>
  </si>
  <si>
    <t>Tony Romano</t>
  </si>
  <si>
    <t>Club Name Not Set</t>
  </si>
  <si>
    <t>Ivanka Asch</t>
  </si>
  <si>
    <t>Pickle United</t>
  </si>
  <si>
    <t>Jeremie Asignar</t>
  </si>
  <si>
    <t>Empire State Pickleball Club</t>
  </si>
  <si>
    <t>Heidi Callahan</t>
  </si>
  <si>
    <t>Brian Werbeck</t>
  </si>
  <si>
    <t>Dave Nguyen</t>
  </si>
  <si>
    <t>Jeff Fein</t>
  </si>
  <si>
    <t>Mikel Strauch</t>
  </si>
  <si>
    <t>Eddie Rizzi</t>
  </si>
  <si>
    <t>Leigh Senzatimore</t>
  </si>
  <si>
    <t>Luisa Gramarossa</t>
  </si>
  <si>
    <t>Lori McBride</t>
  </si>
  <si>
    <t>Elisa Cokkinos</t>
  </si>
  <si>
    <t>Cecilia Jozef</t>
  </si>
  <si>
    <t>Riqian Wang</t>
  </si>
  <si>
    <t>Kenny Jee</t>
  </si>
  <si>
    <t>Joseph Schmidt</t>
  </si>
  <si>
    <t>Sal Farruggia</t>
  </si>
  <si>
    <t>LI-Kick</t>
  </si>
  <si>
    <t>Jin Lei</t>
  </si>
  <si>
    <t>Brian Gentile</t>
  </si>
  <si>
    <t>Jason Pomerantz</t>
  </si>
  <si>
    <t>Karen Polito</t>
  </si>
  <si>
    <t>Stephen Rizzi</t>
  </si>
  <si>
    <t>Lauren Glodny</t>
  </si>
  <si>
    <t>Elona Weiner</t>
  </si>
  <si>
    <t>Andrew Johnson</t>
  </si>
  <si>
    <t>Richard Nessim</t>
  </si>
  <si>
    <t>Yinsana Mok</t>
  </si>
  <si>
    <t>Steve Belanger</t>
  </si>
  <si>
    <t>Gennaro Izzo</t>
  </si>
  <si>
    <t>Michelle Reyes</t>
  </si>
  <si>
    <t>Gms</t>
  </si>
  <si>
    <t>Pts for</t>
  </si>
  <si>
    <t>Pts aga</t>
  </si>
  <si>
    <t>Diff</t>
  </si>
  <si>
    <t>Wks</t>
  </si>
  <si>
    <t>Top 11</t>
  </si>
  <si>
    <t>Medals</t>
  </si>
  <si>
    <t>Best</t>
  </si>
  <si>
    <t>PPW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</si>
</sst>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Lucida Handwriting"/>
      <family val="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0" fillId="33" borderId="10" xfId="0" applyNumberFormat="1" applyFill="1" applyBorder="1" applyAlignment="1">
      <alignment horizontal="center"/>
    </xf>
    <xf numFmtId="164" fontId="0" fillId="34" borderId="10" xfId="0" applyNumberFormat="1" applyFill="1" applyBorder="1" applyAlignment="1">
      <alignment horizontal="center"/>
    </xf>
    <xf numFmtId="164" fontId="0" fillId="35" borderId="10" xfId="0" applyNumberForma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0" fontId="0" fillId="33" borderId="10" xfId="0" applyNumberFormat="1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10" fontId="0" fillId="34" borderId="10" xfId="0" applyNumberFormat="1" applyFill="1" applyBorder="1" applyAlignment="1">
      <alignment horizontal="center"/>
    </xf>
    <xf numFmtId="10" fontId="0" fillId="35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9641-AA1E-4118-AA3A-ADF7A953C774}">
  <dimension ref="A1:P43"/>
  <sheetViews>
    <sheetView tabSelected="1" workbookViewId="0">
      <selection activeCell="G7" sqref="G7"/>
    </sheetView>
  </sheetViews>
  <sheetFormatPr defaultRowHeight="15" x14ac:dyDescent="0.25"/>
  <cols>
    <col min="2" max="2" width="21.85546875" customWidth="1"/>
    <col min="3" max="3" width="25.7109375" customWidth="1"/>
    <col min="4" max="4" width="10.7109375" customWidth="1"/>
    <col min="14" max="14" width="11.5703125" customWidth="1"/>
  </cols>
  <sheetData>
    <row r="1" spans="1:16" s="1" customFormat="1" ht="15.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55</v>
      </c>
      <c r="H1" s="2" t="s">
        <v>56</v>
      </c>
      <c r="I1" s="2" t="s">
        <v>57</v>
      </c>
      <c r="J1" s="2" t="s">
        <v>58</v>
      </c>
      <c r="K1" s="2" t="s">
        <v>6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</row>
    <row r="2" spans="1:16" x14ac:dyDescent="0.25">
      <c r="A2" s="3">
        <v>1</v>
      </c>
      <c r="B2" s="4" t="s">
        <v>7</v>
      </c>
      <c r="C2" s="3" t="s">
        <v>8</v>
      </c>
      <c r="D2" s="4">
        <v>159</v>
      </c>
      <c r="E2" s="4">
        <v>68</v>
      </c>
      <c r="F2" s="3">
        <v>48</v>
      </c>
      <c r="G2" s="4">
        <v>116</v>
      </c>
      <c r="H2" s="4">
        <v>1157</v>
      </c>
      <c r="I2" s="3">
        <v>1119</v>
      </c>
      <c r="J2" s="3">
        <v>38</v>
      </c>
      <c r="K2" s="5">
        <v>0.58599999999999997</v>
      </c>
      <c r="L2" s="11">
        <v>11</v>
      </c>
      <c r="M2" s="3">
        <v>11</v>
      </c>
      <c r="N2" s="11">
        <v>4</v>
      </c>
      <c r="O2" s="3">
        <v>1</v>
      </c>
      <c r="P2" s="6">
        <f>D2/L2</f>
        <v>14.454545454545455</v>
      </c>
    </row>
    <row r="3" spans="1:16" x14ac:dyDescent="0.25">
      <c r="A3" s="3">
        <v>2</v>
      </c>
      <c r="B3" s="11" t="s">
        <v>9</v>
      </c>
      <c r="C3" s="3" t="s">
        <v>8</v>
      </c>
      <c r="D3" s="11">
        <v>150</v>
      </c>
      <c r="E3" s="13">
        <v>61</v>
      </c>
      <c r="F3" s="3">
        <v>55</v>
      </c>
      <c r="G3" s="4">
        <v>116</v>
      </c>
      <c r="H3" s="13">
        <v>1134</v>
      </c>
      <c r="I3" s="3">
        <v>1119</v>
      </c>
      <c r="J3" s="3">
        <v>15</v>
      </c>
      <c r="K3" s="5">
        <v>0.52600000000000002</v>
      </c>
      <c r="L3" s="4">
        <v>12</v>
      </c>
      <c r="M3" s="3">
        <v>11</v>
      </c>
      <c r="N3" s="3">
        <v>2</v>
      </c>
      <c r="O3" s="3">
        <v>1</v>
      </c>
      <c r="P3" s="6">
        <f t="shared" ref="P3:P43" si="0">D3/L3</f>
        <v>12.5</v>
      </c>
    </row>
    <row r="4" spans="1:16" x14ac:dyDescent="0.25">
      <c r="A4" s="3">
        <v>3</v>
      </c>
      <c r="B4" s="13" t="s">
        <v>10</v>
      </c>
      <c r="C4" s="3" t="s">
        <v>8</v>
      </c>
      <c r="D4" s="13">
        <v>143</v>
      </c>
      <c r="E4" s="11">
        <v>63</v>
      </c>
      <c r="F4" s="3">
        <v>46</v>
      </c>
      <c r="G4" s="3">
        <v>109</v>
      </c>
      <c r="H4" s="11">
        <v>1135</v>
      </c>
      <c r="I4" s="3">
        <v>1061</v>
      </c>
      <c r="J4" s="11">
        <v>74</v>
      </c>
      <c r="K4" s="5">
        <v>0.57799999999999996</v>
      </c>
      <c r="L4" s="3">
        <v>10</v>
      </c>
      <c r="M4" s="3">
        <v>10</v>
      </c>
      <c r="N4" s="3">
        <v>3</v>
      </c>
      <c r="O4" s="3">
        <v>2</v>
      </c>
      <c r="P4" s="6">
        <f t="shared" si="0"/>
        <v>14.3</v>
      </c>
    </row>
    <row r="5" spans="1:16" x14ac:dyDescent="0.25">
      <c r="A5" s="3">
        <v>4</v>
      </c>
      <c r="B5" s="3" t="s">
        <v>11</v>
      </c>
      <c r="C5" s="3" t="s">
        <v>8</v>
      </c>
      <c r="D5" s="3">
        <v>133</v>
      </c>
      <c r="E5" s="3">
        <v>59</v>
      </c>
      <c r="F5" s="3">
        <v>26</v>
      </c>
      <c r="G5" s="3">
        <v>85</v>
      </c>
      <c r="H5" s="3">
        <v>899</v>
      </c>
      <c r="I5" s="3">
        <v>751</v>
      </c>
      <c r="J5" s="4">
        <v>148</v>
      </c>
      <c r="K5" s="14">
        <v>0.69399999999999995</v>
      </c>
      <c r="L5" s="3">
        <v>8</v>
      </c>
      <c r="M5" s="3">
        <v>8</v>
      </c>
      <c r="N5" s="4">
        <v>6</v>
      </c>
      <c r="O5" s="3">
        <v>1</v>
      </c>
      <c r="P5" s="9">
        <f t="shared" si="0"/>
        <v>16.625</v>
      </c>
    </row>
    <row r="6" spans="1:16" x14ac:dyDescent="0.25">
      <c r="A6" s="3">
        <v>5</v>
      </c>
      <c r="B6" s="3" t="s">
        <v>12</v>
      </c>
      <c r="C6" s="3" t="s">
        <v>8</v>
      </c>
      <c r="D6" s="3">
        <v>130</v>
      </c>
      <c r="E6" s="3">
        <v>58</v>
      </c>
      <c r="F6" s="3">
        <v>38</v>
      </c>
      <c r="G6" s="3">
        <v>96</v>
      </c>
      <c r="H6" s="3">
        <v>974</v>
      </c>
      <c r="I6" s="3">
        <v>888</v>
      </c>
      <c r="J6" s="3">
        <v>86</v>
      </c>
      <c r="K6" s="5">
        <v>0.60399999999999998</v>
      </c>
      <c r="L6" s="3">
        <v>9</v>
      </c>
      <c r="M6" s="3">
        <v>9</v>
      </c>
      <c r="N6" s="11">
        <v>4</v>
      </c>
      <c r="O6" s="3">
        <v>1</v>
      </c>
      <c r="P6" s="6">
        <f t="shared" si="0"/>
        <v>14.444444444444445</v>
      </c>
    </row>
    <row r="7" spans="1:16" x14ac:dyDescent="0.25">
      <c r="A7" s="3">
        <v>6</v>
      </c>
      <c r="B7" s="3" t="s">
        <v>13</v>
      </c>
      <c r="C7" s="3" t="s">
        <v>8</v>
      </c>
      <c r="D7" s="3">
        <v>125</v>
      </c>
      <c r="E7" s="3">
        <v>48</v>
      </c>
      <c r="F7" s="3">
        <v>66</v>
      </c>
      <c r="G7" s="13">
        <v>114</v>
      </c>
      <c r="H7" s="3">
        <v>1080</v>
      </c>
      <c r="I7" s="3">
        <v>1153</v>
      </c>
      <c r="J7" s="3">
        <v>-73</v>
      </c>
      <c r="K7" s="5">
        <v>0.42099999999999999</v>
      </c>
      <c r="L7" s="11">
        <v>11</v>
      </c>
      <c r="M7" s="3">
        <v>11</v>
      </c>
      <c r="N7" s="3">
        <v>1</v>
      </c>
      <c r="O7" s="3">
        <v>1</v>
      </c>
      <c r="P7" s="6">
        <f t="shared" si="0"/>
        <v>11.363636363636363</v>
      </c>
    </row>
    <row r="8" spans="1:16" x14ac:dyDescent="0.25">
      <c r="A8" s="3">
        <v>7</v>
      </c>
      <c r="B8" s="3" t="s">
        <v>14</v>
      </c>
      <c r="C8" s="3" t="s">
        <v>15</v>
      </c>
      <c r="D8" s="3">
        <v>94</v>
      </c>
      <c r="E8" s="3">
        <v>40</v>
      </c>
      <c r="F8" s="3">
        <v>46</v>
      </c>
      <c r="G8" s="3">
        <v>86</v>
      </c>
      <c r="H8" s="3">
        <v>823</v>
      </c>
      <c r="I8" s="3">
        <v>865</v>
      </c>
      <c r="J8" s="3">
        <v>-42</v>
      </c>
      <c r="K8" s="5">
        <v>0.46500000000000002</v>
      </c>
      <c r="L8" s="3">
        <v>8</v>
      </c>
      <c r="M8" s="3">
        <v>8</v>
      </c>
      <c r="N8" s="3">
        <v>0</v>
      </c>
      <c r="O8" s="3">
        <v>5</v>
      </c>
      <c r="P8" s="6">
        <f t="shared" si="0"/>
        <v>11.75</v>
      </c>
    </row>
    <row r="9" spans="1:16" x14ac:dyDescent="0.25">
      <c r="A9" s="3">
        <v>8</v>
      </c>
      <c r="B9" s="3" t="s">
        <v>16</v>
      </c>
      <c r="C9" s="3" t="s">
        <v>8</v>
      </c>
      <c r="D9" s="3">
        <v>89</v>
      </c>
      <c r="E9" s="3">
        <v>38</v>
      </c>
      <c r="F9" s="3">
        <v>25</v>
      </c>
      <c r="G9" s="3">
        <v>63</v>
      </c>
      <c r="H9" s="3">
        <v>616</v>
      </c>
      <c r="I9" s="3">
        <v>588</v>
      </c>
      <c r="J9" s="3">
        <v>28</v>
      </c>
      <c r="K9" s="5">
        <v>0.60299999999999998</v>
      </c>
      <c r="L9" s="3">
        <v>6</v>
      </c>
      <c r="M9" s="3">
        <v>6</v>
      </c>
      <c r="N9" s="3">
        <v>3</v>
      </c>
      <c r="O9" s="3">
        <v>2</v>
      </c>
      <c r="P9" s="6">
        <f t="shared" si="0"/>
        <v>14.833333333333334</v>
      </c>
    </row>
    <row r="10" spans="1:16" x14ac:dyDescent="0.25">
      <c r="A10" s="3">
        <v>8</v>
      </c>
      <c r="B10" s="3" t="s">
        <v>17</v>
      </c>
      <c r="C10" s="3" t="s">
        <v>8</v>
      </c>
      <c r="D10" s="3">
        <v>89</v>
      </c>
      <c r="E10" s="3">
        <v>38</v>
      </c>
      <c r="F10" s="3">
        <v>26</v>
      </c>
      <c r="G10" s="3">
        <v>64</v>
      </c>
      <c r="H10" s="3">
        <v>659</v>
      </c>
      <c r="I10" s="3">
        <v>592</v>
      </c>
      <c r="J10" s="3">
        <v>67</v>
      </c>
      <c r="K10" s="5">
        <v>0.59399999999999997</v>
      </c>
      <c r="L10" s="3">
        <v>6</v>
      </c>
      <c r="M10" s="3">
        <v>6</v>
      </c>
      <c r="N10" s="11">
        <v>4</v>
      </c>
      <c r="O10" s="3">
        <v>2</v>
      </c>
      <c r="P10" s="6">
        <f t="shared" si="0"/>
        <v>14.833333333333334</v>
      </c>
    </row>
    <row r="11" spans="1:16" x14ac:dyDescent="0.25">
      <c r="A11" s="3">
        <v>10</v>
      </c>
      <c r="B11" s="3" t="s">
        <v>18</v>
      </c>
      <c r="C11" s="3" t="s">
        <v>8</v>
      </c>
      <c r="D11" s="3">
        <v>76</v>
      </c>
      <c r="E11" s="3">
        <v>29</v>
      </c>
      <c r="F11" s="3">
        <v>45</v>
      </c>
      <c r="G11" s="3">
        <v>74</v>
      </c>
      <c r="H11" s="3">
        <v>724</v>
      </c>
      <c r="I11" s="3">
        <v>770</v>
      </c>
      <c r="J11" s="3">
        <v>-46</v>
      </c>
      <c r="K11" s="5">
        <v>0.39200000000000002</v>
      </c>
      <c r="L11" s="3">
        <v>7</v>
      </c>
      <c r="M11" s="3">
        <v>7</v>
      </c>
      <c r="N11" s="3">
        <v>0</v>
      </c>
      <c r="O11" s="3">
        <v>5</v>
      </c>
      <c r="P11" s="6">
        <f t="shared" si="0"/>
        <v>10.857142857142858</v>
      </c>
    </row>
    <row r="12" spans="1:16" x14ac:dyDescent="0.25">
      <c r="A12" s="3">
        <v>11</v>
      </c>
      <c r="B12" s="3" t="s">
        <v>19</v>
      </c>
      <c r="C12" s="3" t="s">
        <v>8</v>
      </c>
      <c r="D12" s="3">
        <v>72</v>
      </c>
      <c r="E12" s="3">
        <v>32</v>
      </c>
      <c r="F12" s="3">
        <v>32</v>
      </c>
      <c r="G12" s="3">
        <v>64</v>
      </c>
      <c r="H12" s="3">
        <v>634</v>
      </c>
      <c r="I12" s="3">
        <v>636</v>
      </c>
      <c r="J12" s="3">
        <v>-2</v>
      </c>
      <c r="K12" s="7">
        <v>0.5</v>
      </c>
      <c r="L12" s="3">
        <v>6</v>
      </c>
      <c r="M12" s="3">
        <v>6</v>
      </c>
      <c r="N12" s="3">
        <v>1</v>
      </c>
      <c r="O12" s="3">
        <v>3</v>
      </c>
      <c r="P12" s="6">
        <f t="shared" si="0"/>
        <v>12</v>
      </c>
    </row>
    <row r="13" spans="1:16" x14ac:dyDescent="0.25">
      <c r="A13" s="3">
        <v>12</v>
      </c>
      <c r="B13" s="3" t="s">
        <v>20</v>
      </c>
      <c r="C13" s="3" t="s">
        <v>21</v>
      </c>
      <c r="D13" s="3">
        <v>64</v>
      </c>
      <c r="E13" s="3">
        <v>28</v>
      </c>
      <c r="F13" s="3">
        <v>15</v>
      </c>
      <c r="G13" s="3">
        <v>43</v>
      </c>
      <c r="H13" s="3">
        <v>438</v>
      </c>
      <c r="I13" s="3">
        <v>401</v>
      </c>
      <c r="J13" s="3">
        <v>37</v>
      </c>
      <c r="K13" s="15">
        <v>0.65100000000000002</v>
      </c>
      <c r="L13" s="3">
        <v>4</v>
      </c>
      <c r="M13" s="3">
        <v>4</v>
      </c>
      <c r="N13" s="3">
        <v>2</v>
      </c>
      <c r="O13" s="3">
        <v>1</v>
      </c>
      <c r="P13" s="10">
        <f t="shared" si="0"/>
        <v>16</v>
      </c>
    </row>
    <row r="14" spans="1:16" x14ac:dyDescent="0.25">
      <c r="A14" s="3">
        <v>13</v>
      </c>
      <c r="B14" s="3" t="s">
        <v>22</v>
      </c>
      <c r="C14" s="3" t="s">
        <v>23</v>
      </c>
      <c r="D14" s="3">
        <v>53</v>
      </c>
      <c r="E14" s="3">
        <v>22</v>
      </c>
      <c r="F14" s="3">
        <v>32</v>
      </c>
      <c r="G14" s="3">
        <v>54</v>
      </c>
      <c r="H14" s="3">
        <v>502</v>
      </c>
      <c r="I14" s="3">
        <v>552</v>
      </c>
      <c r="J14" s="3">
        <v>-50</v>
      </c>
      <c r="K14" s="5">
        <v>0.40699999999999997</v>
      </c>
      <c r="L14" s="3">
        <v>5</v>
      </c>
      <c r="M14" s="3">
        <v>5</v>
      </c>
      <c r="N14" s="3">
        <v>0</v>
      </c>
      <c r="O14" s="3">
        <v>4</v>
      </c>
      <c r="P14" s="6">
        <f t="shared" si="0"/>
        <v>10.6</v>
      </c>
    </row>
    <row r="15" spans="1:16" x14ac:dyDescent="0.25">
      <c r="A15" s="3">
        <v>14</v>
      </c>
      <c r="B15" s="3" t="s">
        <v>24</v>
      </c>
      <c r="C15" s="3" t="s">
        <v>25</v>
      </c>
      <c r="D15" s="3">
        <v>52</v>
      </c>
      <c r="E15" s="3">
        <v>24</v>
      </c>
      <c r="F15" s="3">
        <v>8</v>
      </c>
      <c r="G15" s="3">
        <v>32</v>
      </c>
      <c r="H15" s="3">
        <v>332</v>
      </c>
      <c r="I15" s="3">
        <v>276</v>
      </c>
      <c r="J15" s="3">
        <v>56</v>
      </c>
      <c r="K15" s="7">
        <v>0.75</v>
      </c>
      <c r="L15" s="3">
        <v>3</v>
      </c>
      <c r="M15" s="3">
        <v>3</v>
      </c>
      <c r="N15" s="3">
        <v>2</v>
      </c>
      <c r="O15" s="3">
        <v>1</v>
      </c>
      <c r="P15" s="8">
        <f t="shared" si="0"/>
        <v>17.333333333333332</v>
      </c>
    </row>
    <row r="16" spans="1:16" x14ac:dyDescent="0.25">
      <c r="A16" s="3">
        <v>15</v>
      </c>
      <c r="B16" s="3" t="s">
        <v>26</v>
      </c>
      <c r="C16" s="3" t="s">
        <v>23</v>
      </c>
      <c r="D16" s="3">
        <v>51</v>
      </c>
      <c r="E16" s="3">
        <v>19</v>
      </c>
      <c r="F16" s="3">
        <v>43</v>
      </c>
      <c r="G16" s="3">
        <v>62</v>
      </c>
      <c r="H16" s="3">
        <v>546</v>
      </c>
      <c r="I16" s="3">
        <v>659</v>
      </c>
      <c r="J16" s="3">
        <v>-113</v>
      </c>
      <c r="K16" s="5">
        <v>0.30599999999999999</v>
      </c>
      <c r="L16" s="3">
        <v>6</v>
      </c>
      <c r="M16" s="3">
        <v>6</v>
      </c>
      <c r="N16" s="3">
        <v>0</v>
      </c>
      <c r="O16" s="3">
        <v>7</v>
      </c>
      <c r="P16" s="6">
        <f t="shared" si="0"/>
        <v>8.5</v>
      </c>
    </row>
    <row r="17" spans="1:16" x14ac:dyDescent="0.25">
      <c r="A17" s="3">
        <v>16</v>
      </c>
      <c r="B17" s="3" t="s">
        <v>27</v>
      </c>
      <c r="C17" s="3" t="s">
        <v>8</v>
      </c>
      <c r="D17" s="3">
        <v>50</v>
      </c>
      <c r="E17" s="3">
        <v>22</v>
      </c>
      <c r="F17" s="3">
        <v>21</v>
      </c>
      <c r="G17" s="3">
        <v>43</v>
      </c>
      <c r="H17" s="3">
        <v>419</v>
      </c>
      <c r="I17" s="3">
        <v>405</v>
      </c>
      <c r="J17" s="3">
        <v>14</v>
      </c>
      <c r="K17" s="5">
        <v>0.51200000000000001</v>
      </c>
      <c r="L17" s="3">
        <v>4</v>
      </c>
      <c r="M17" s="3">
        <v>4</v>
      </c>
      <c r="N17" s="3">
        <v>0</v>
      </c>
      <c r="O17" s="3">
        <v>4</v>
      </c>
      <c r="P17" s="6">
        <f t="shared" si="0"/>
        <v>12.5</v>
      </c>
    </row>
    <row r="18" spans="1:16" x14ac:dyDescent="0.25">
      <c r="A18" s="3">
        <v>17</v>
      </c>
      <c r="B18" s="3" t="s">
        <v>28</v>
      </c>
      <c r="C18" s="3" t="s">
        <v>8</v>
      </c>
      <c r="D18" s="3">
        <v>49</v>
      </c>
      <c r="E18" s="3">
        <v>20</v>
      </c>
      <c r="F18" s="3">
        <v>22</v>
      </c>
      <c r="G18" s="3">
        <v>42</v>
      </c>
      <c r="H18" s="3">
        <v>431</v>
      </c>
      <c r="I18" s="3">
        <v>417</v>
      </c>
      <c r="J18" s="3">
        <v>14</v>
      </c>
      <c r="K18" s="5">
        <v>0.47599999999999998</v>
      </c>
      <c r="L18" s="3">
        <v>4</v>
      </c>
      <c r="M18" s="3">
        <v>4</v>
      </c>
      <c r="N18" s="3">
        <v>1</v>
      </c>
      <c r="O18" s="3">
        <v>2</v>
      </c>
      <c r="P18" s="6">
        <f t="shared" si="0"/>
        <v>12.25</v>
      </c>
    </row>
    <row r="19" spans="1:16" x14ac:dyDescent="0.25">
      <c r="A19" s="3">
        <v>18</v>
      </c>
      <c r="B19" s="3" t="s">
        <v>29</v>
      </c>
      <c r="C19" s="3" t="s">
        <v>8</v>
      </c>
      <c r="D19" s="3">
        <v>31</v>
      </c>
      <c r="E19" s="3">
        <v>13</v>
      </c>
      <c r="F19" s="3">
        <v>8</v>
      </c>
      <c r="G19" s="3">
        <v>21</v>
      </c>
      <c r="H19" s="3">
        <v>208</v>
      </c>
      <c r="I19" s="3">
        <v>181</v>
      </c>
      <c r="J19" s="3">
        <v>27</v>
      </c>
      <c r="K19" s="5">
        <v>0.61899999999999999</v>
      </c>
      <c r="L19" s="3">
        <v>2</v>
      </c>
      <c r="M19" s="3">
        <v>2</v>
      </c>
      <c r="N19" s="3">
        <v>1</v>
      </c>
      <c r="O19" s="3">
        <v>2</v>
      </c>
      <c r="P19" s="6">
        <f t="shared" si="0"/>
        <v>15.5</v>
      </c>
    </row>
    <row r="20" spans="1:16" x14ac:dyDescent="0.25">
      <c r="A20" s="3">
        <v>18</v>
      </c>
      <c r="B20" s="3" t="s">
        <v>30</v>
      </c>
      <c r="C20" s="3" t="s">
        <v>8</v>
      </c>
      <c r="D20" s="3">
        <v>31</v>
      </c>
      <c r="E20" s="3">
        <v>14</v>
      </c>
      <c r="F20" s="3">
        <v>8</v>
      </c>
      <c r="G20" s="3">
        <v>22</v>
      </c>
      <c r="H20" s="3">
        <v>226</v>
      </c>
      <c r="I20" s="3">
        <v>198</v>
      </c>
      <c r="J20" s="3">
        <v>28</v>
      </c>
      <c r="K20" s="5">
        <v>0.63600000000000001</v>
      </c>
      <c r="L20" s="3">
        <v>2</v>
      </c>
      <c r="M20" s="3">
        <v>2</v>
      </c>
      <c r="N20" s="3">
        <v>1</v>
      </c>
      <c r="O20" s="3">
        <v>1</v>
      </c>
      <c r="P20" s="6">
        <f t="shared" si="0"/>
        <v>15.5</v>
      </c>
    </row>
    <row r="21" spans="1:16" x14ac:dyDescent="0.25">
      <c r="A21" s="3">
        <v>20</v>
      </c>
      <c r="B21" s="3" t="s">
        <v>31</v>
      </c>
      <c r="C21" s="3" t="s">
        <v>8</v>
      </c>
      <c r="D21" s="3">
        <v>30</v>
      </c>
      <c r="E21" s="3">
        <v>13</v>
      </c>
      <c r="F21" s="3">
        <v>9</v>
      </c>
      <c r="G21" s="3">
        <v>22</v>
      </c>
      <c r="H21" s="3">
        <v>214</v>
      </c>
      <c r="I21" s="3">
        <v>198</v>
      </c>
      <c r="J21" s="3">
        <v>16</v>
      </c>
      <c r="K21" s="5">
        <v>0.59099999999999997</v>
      </c>
      <c r="L21" s="3">
        <v>2</v>
      </c>
      <c r="M21" s="3">
        <v>2</v>
      </c>
      <c r="N21" s="3">
        <v>1</v>
      </c>
      <c r="O21" s="3">
        <v>1</v>
      </c>
      <c r="P21" s="6">
        <f t="shared" si="0"/>
        <v>15</v>
      </c>
    </row>
    <row r="22" spans="1:16" x14ac:dyDescent="0.25">
      <c r="A22" s="3">
        <v>21</v>
      </c>
      <c r="B22" s="3" t="s">
        <v>32</v>
      </c>
      <c r="C22" s="3" t="s">
        <v>8</v>
      </c>
      <c r="D22" s="3">
        <v>28</v>
      </c>
      <c r="E22" s="3">
        <v>14</v>
      </c>
      <c r="F22" s="3">
        <v>19</v>
      </c>
      <c r="G22" s="3">
        <v>33</v>
      </c>
      <c r="H22" s="3">
        <v>307</v>
      </c>
      <c r="I22" s="3">
        <v>325</v>
      </c>
      <c r="J22" s="3">
        <v>-18</v>
      </c>
      <c r="K22" s="5">
        <v>0.42399999999999999</v>
      </c>
      <c r="L22" s="3">
        <v>3</v>
      </c>
      <c r="M22" s="3">
        <v>3</v>
      </c>
      <c r="N22" s="3">
        <v>0</v>
      </c>
      <c r="O22" s="3">
        <v>8</v>
      </c>
      <c r="P22" s="6">
        <f t="shared" si="0"/>
        <v>9.3333333333333339</v>
      </c>
    </row>
    <row r="23" spans="1:16" x14ac:dyDescent="0.25">
      <c r="A23" s="3">
        <v>22</v>
      </c>
      <c r="B23" s="3" t="s">
        <v>33</v>
      </c>
      <c r="C23" s="3" t="s">
        <v>23</v>
      </c>
      <c r="D23" s="3">
        <v>24</v>
      </c>
      <c r="E23" s="3">
        <v>5</v>
      </c>
      <c r="F23" s="3">
        <v>27</v>
      </c>
      <c r="G23" s="3">
        <v>32</v>
      </c>
      <c r="H23" s="3">
        <v>281</v>
      </c>
      <c r="I23" s="3">
        <v>341</v>
      </c>
      <c r="J23" s="3">
        <v>-60</v>
      </c>
      <c r="K23" s="5">
        <v>0.156</v>
      </c>
      <c r="L23" s="3">
        <v>3</v>
      </c>
      <c r="M23" s="3">
        <v>3</v>
      </c>
      <c r="N23" s="3">
        <v>0</v>
      </c>
      <c r="O23" s="3">
        <v>9</v>
      </c>
      <c r="P23" s="6">
        <f t="shared" si="0"/>
        <v>8</v>
      </c>
    </row>
    <row r="24" spans="1:16" x14ac:dyDescent="0.25">
      <c r="A24" s="3">
        <v>22</v>
      </c>
      <c r="B24" s="3" t="s">
        <v>34</v>
      </c>
      <c r="C24" s="3" t="s">
        <v>15</v>
      </c>
      <c r="D24" s="3">
        <v>24</v>
      </c>
      <c r="E24" s="3">
        <v>9</v>
      </c>
      <c r="F24" s="3">
        <v>11</v>
      </c>
      <c r="G24" s="3">
        <v>20</v>
      </c>
      <c r="H24" s="3">
        <v>204</v>
      </c>
      <c r="I24" s="3">
        <v>210</v>
      </c>
      <c r="J24" s="3">
        <v>-6</v>
      </c>
      <c r="K24" s="7">
        <v>0.45</v>
      </c>
      <c r="L24" s="3">
        <v>2</v>
      </c>
      <c r="M24" s="3">
        <v>2</v>
      </c>
      <c r="N24" s="3">
        <v>0</v>
      </c>
      <c r="O24" s="3">
        <v>6</v>
      </c>
      <c r="P24" s="6">
        <f t="shared" si="0"/>
        <v>12</v>
      </c>
    </row>
    <row r="25" spans="1:16" x14ac:dyDescent="0.25">
      <c r="A25" s="3">
        <v>24</v>
      </c>
      <c r="B25" s="3" t="s">
        <v>35</v>
      </c>
      <c r="C25" s="3" t="s">
        <v>8</v>
      </c>
      <c r="D25" s="3">
        <v>21</v>
      </c>
      <c r="E25" s="3">
        <v>8</v>
      </c>
      <c r="F25" s="3">
        <v>13</v>
      </c>
      <c r="G25" s="3">
        <v>21</v>
      </c>
      <c r="H25" s="3">
        <v>215</v>
      </c>
      <c r="I25" s="3">
        <v>214</v>
      </c>
      <c r="J25" s="3">
        <v>1</v>
      </c>
      <c r="K25" s="5">
        <v>0.38100000000000001</v>
      </c>
      <c r="L25" s="3">
        <v>2</v>
      </c>
      <c r="M25" s="3">
        <v>2</v>
      </c>
      <c r="N25" s="3">
        <v>0</v>
      </c>
      <c r="O25" s="3">
        <v>5</v>
      </c>
      <c r="P25" s="6">
        <f t="shared" si="0"/>
        <v>10.5</v>
      </c>
    </row>
    <row r="26" spans="1:16" x14ac:dyDescent="0.25">
      <c r="A26" s="3">
        <v>25</v>
      </c>
      <c r="B26" s="3" t="s">
        <v>36</v>
      </c>
      <c r="C26" s="3" t="s">
        <v>8</v>
      </c>
      <c r="D26" s="3">
        <v>18</v>
      </c>
      <c r="E26" s="3">
        <v>9</v>
      </c>
      <c r="F26" s="3">
        <v>2</v>
      </c>
      <c r="G26" s="3">
        <v>11</v>
      </c>
      <c r="H26" s="3">
        <v>118</v>
      </c>
      <c r="I26" s="3">
        <v>88</v>
      </c>
      <c r="J26" s="3">
        <v>30</v>
      </c>
      <c r="K26" s="12">
        <v>0.81799999999999995</v>
      </c>
      <c r="L26" s="3">
        <v>1</v>
      </c>
      <c r="M26" s="3">
        <v>1</v>
      </c>
      <c r="N26" s="3">
        <v>1</v>
      </c>
      <c r="O26" s="3">
        <v>2</v>
      </c>
      <c r="P26" s="6">
        <f t="shared" si="0"/>
        <v>18</v>
      </c>
    </row>
    <row r="27" spans="1:16" x14ac:dyDescent="0.25">
      <c r="A27" s="3">
        <v>25</v>
      </c>
      <c r="B27" s="3" t="s">
        <v>37</v>
      </c>
      <c r="C27" s="3" t="s">
        <v>25</v>
      </c>
      <c r="D27" s="3">
        <v>18</v>
      </c>
      <c r="E27" s="3">
        <v>8</v>
      </c>
      <c r="F27" s="3">
        <v>4</v>
      </c>
      <c r="G27" s="3">
        <v>12</v>
      </c>
      <c r="H27" s="3">
        <v>121</v>
      </c>
      <c r="I27" s="3">
        <v>105</v>
      </c>
      <c r="J27" s="3">
        <v>16</v>
      </c>
      <c r="K27" s="5">
        <v>0.66700000000000004</v>
      </c>
      <c r="L27" s="3">
        <v>1</v>
      </c>
      <c r="M27" s="3">
        <v>1</v>
      </c>
      <c r="N27" s="3">
        <v>1</v>
      </c>
      <c r="O27" s="3">
        <v>2</v>
      </c>
      <c r="P27" s="6">
        <f t="shared" si="0"/>
        <v>18</v>
      </c>
    </row>
    <row r="28" spans="1:16" x14ac:dyDescent="0.25">
      <c r="A28" s="3">
        <v>27</v>
      </c>
      <c r="B28" s="3" t="s">
        <v>38</v>
      </c>
      <c r="C28" s="3" t="s">
        <v>8</v>
      </c>
      <c r="D28" s="3">
        <v>17</v>
      </c>
      <c r="E28" s="3">
        <v>6</v>
      </c>
      <c r="F28" s="3">
        <v>16</v>
      </c>
      <c r="G28" s="3">
        <v>22</v>
      </c>
      <c r="H28" s="3">
        <v>194</v>
      </c>
      <c r="I28" s="3">
        <v>240</v>
      </c>
      <c r="J28" s="3">
        <v>-46</v>
      </c>
      <c r="K28" s="5">
        <v>0.27300000000000002</v>
      </c>
      <c r="L28" s="3">
        <v>2</v>
      </c>
      <c r="M28" s="3">
        <v>2</v>
      </c>
      <c r="N28" s="3">
        <v>0</v>
      </c>
      <c r="O28" s="3">
        <v>10</v>
      </c>
      <c r="P28" s="6">
        <f t="shared" si="0"/>
        <v>8.5</v>
      </c>
    </row>
    <row r="29" spans="1:16" x14ac:dyDescent="0.25">
      <c r="A29" s="3">
        <v>28</v>
      </c>
      <c r="B29" s="3" t="s">
        <v>39</v>
      </c>
      <c r="C29" s="3" t="s">
        <v>8</v>
      </c>
      <c r="D29" s="3">
        <v>16</v>
      </c>
      <c r="E29" s="3">
        <v>7</v>
      </c>
      <c r="F29" s="3">
        <v>3</v>
      </c>
      <c r="G29" s="3">
        <v>10</v>
      </c>
      <c r="H29" s="3">
        <v>116</v>
      </c>
      <c r="I29" s="3">
        <v>113</v>
      </c>
      <c r="J29" s="3">
        <v>3</v>
      </c>
      <c r="K29" s="7">
        <v>0.7</v>
      </c>
      <c r="L29" s="3">
        <v>1</v>
      </c>
      <c r="M29" s="3">
        <v>1</v>
      </c>
      <c r="N29" s="3">
        <v>1</v>
      </c>
      <c r="O29" s="3">
        <v>3</v>
      </c>
      <c r="P29" s="6">
        <f t="shared" si="0"/>
        <v>16</v>
      </c>
    </row>
    <row r="30" spans="1:16" x14ac:dyDescent="0.25">
      <c r="A30" s="3">
        <v>29</v>
      </c>
      <c r="B30" s="3" t="s">
        <v>40</v>
      </c>
      <c r="C30" s="3" t="s">
        <v>41</v>
      </c>
      <c r="D30" s="3">
        <v>15</v>
      </c>
      <c r="E30" s="3">
        <v>8</v>
      </c>
      <c r="F30" s="3">
        <v>3</v>
      </c>
      <c r="G30" s="3">
        <v>11</v>
      </c>
      <c r="H30" s="3">
        <v>116</v>
      </c>
      <c r="I30" s="3">
        <v>96</v>
      </c>
      <c r="J30" s="3">
        <v>20</v>
      </c>
      <c r="K30" s="5">
        <v>0.72699999999999998</v>
      </c>
      <c r="L30" s="3">
        <v>1</v>
      </c>
      <c r="M30" s="3">
        <v>1</v>
      </c>
      <c r="N30" s="3">
        <v>0</v>
      </c>
      <c r="O30" s="3">
        <v>4</v>
      </c>
      <c r="P30" s="6">
        <f t="shared" si="0"/>
        <v>15</v>
      </c>
    </row>
    <row r="31" spans="1:16" x14ac:dyDescent="0.25">
      <c r="A31" s="3">
        <v>30</v>
      </c>
      <c r="B31" s="3" t="s">
        <v>42</v>
      </c>
      <c r="C31" s="3" t="s">
        <v>21</v>
      </c>
      <c r="D31" s="3">
        <v>13</v>
      </c>
      <c r="E31" s="3">
        <v>6</v>
      </c>
      <c r="F31" s="3">
        <v>5</v>
      </c>
      <c r="G31" s="3">
        <v>11</v>
      </c>
      <c r="H31" s="3">
        <v>121</v>
      </c>
      <c r="I31" s="3">
        <v>108</v>
      </c>
      <c r="J31" s="3">
        <v>13</v>
      </c>
      <c r="K31" s="5">
        <v>0.54500000000000004</v>
      </c>
      <c r="L31" s="3">
        <v>1</v>
      </c>
      <c r="M31" s="3">
        <v>1</v>
      </c>
      <c r="N31" s="3">
        <v>0</v>
      </c>
      <c r="O31" s="3">
        <v>6</v>
      </c>
      <c r="P31" s="6">
        <f t="shared" si="0"/>
        <v>13</v>
      </c>
    </row>
    <row r="32" spans="1:16" x14ac:dyDescent="0.25">
      <c r="A32" s="3">
        <v>30</v>
      </c>
      <c r="B32" s="3" t="s">
        <v>43</v>
      </c>
      <c r="C32" s="3" t="s">
        <v>8</v>
      </c>
      <c r="D32" s="3">
        <v>13</v>
      </c>
      <c r="E32" s="3">
        <v>6</v>
      </c>
      <c r="F32" s="3">
        <v>5</v>
      </c>
      <c r="G32" s="3">
        <v>11</v>
      </c>
      <c r="H32" s="3">
        <v>99</v>
      </c>
      <c r="I32" s="3">
        <v>105</v>
      </c>
      <c r="J32" s="3">
        <v>-6</v>
      </c>
      <c r="K32" s="5">
        <v>0.54500000000000004</v>
      </c>
      <c r="L32" s="3">
        <v>1</v>
      </c>
      <c r="M32" s="3">
        <v>1</v>
      </c>
      <c r="N32" s="3">
        <v>0</v>
      </c>
      <c r="O32" s="3">
        <v>6</v>
      </c>
      <c r="P32" s="6">
        <f t="shared" si="0"/>
        <v>13</v>
      </c>
    </row>
    <row r="33" spans="1:16" x14ac:dyDescent="0.25">
      <c r="A33" s="3">
        <v>30</v>
      </c>
      <c r="B33" s="3" t="s">
        <v>44</v>
      </c>
      <c r="C33" s="3" t="s">
        <v>15</v>
      </c>
      <c r="D33" s="3">
        <v>13</v>
      </c>
      <c r="E33" s="3">
        <v>5</v>
      </c>
      <c r="F33" s="3">
        <v>6</v>
      </c>
      <c r="G33" s="3">
        <v>11</v>
      </c>
      <c r="H33" s="3">
        <v>109</v>
      </c>
      <c r="I33" s="3">
        <v>111</v>
      </c>
      <c r="J33" s="3">
        <v>-2</v>
      </c>
      <c r="K33" s="5">
        <v>0.45500000000000002</v>
      </c>
      <c r="L33" s="3">
        <v>1</v>
      </c>
      <c r="M33" s="3">
        <v>1</v>
      </c>
      <c r="N33" s="3">
        <v>0</v>
      </c>
      <c r="O33" s="3">
        <v>6</v>
      </c>
      <c r="P33" s="6">
        <f t="shared" si="0"/>
        <v>13</v>
      </c>
    </row>
    <row r="34" spans="1:16" x14ac:dyDescent="0.25">
      <c r="A34" s="3">
        <v>33</v>
      </c>
      <c r="B34" s="3" t="s">
        <v>45</v>
      </c>
      <c r="C34" s="3" t="s">
        <v>8</v>
      </c>
      <c r="D34" s="3">
        <v>12</v>
      </c>
      <c r="E34" s="3">
        <v>6</v>
      </c>
      <c r="F34" s="3">
        <v>5</v>
      </c>
      <c r="G34" s="3">
        <v>11</v>
      </c>
      <c r="H34" s="3">
        <v>98</v>
      </c>
      <c r="I34" s="3">
        <v>106</v>
      </c>
      <c r="J34" s="3">
        <v>-8</v>
      </c>
      <c r="K34" s="5">
        <v>0.54500000000000004</v>
      </c>
      <c r="L34" s="3">
        <v>1</v>
      </c>
      <c r="M34" s="3">
        <v>1</v>
      </c>
      <c r="N34" s="3">
        <v>0</v>
      </c>
      <c r="O34" s="3">
        <v>7</v>
      </c>
      <c r="P34" s="6">
        <f t="shared" si="0"/>
        <v>12</v>
      </c>
    </row>
    <row r="35" spans="1:16" x14ac:dyDescent="0.25">
      <c r="A35" s="3">
        <v>34</v>
      </c>
      <c r="B35" s="3" t="s">
        <v>46</v>
      </c>
      <c r="C35" s="3" t="s">
        <v>8</v>
      </c>
      <c r="D35" s="3">
        <v>10</v>
      </c>
      <c r="E35" s="3">
        <v>4</v>
      </c>
      <c r="F35" s="3">
        <v>6</v>
      </c>
      <c r="G35" s="3">
        <v>10</v>
      </c>
      <c r="H35" s="3">
        <v>105</v>
      </c>
      <c r="I35" s="3">
        <v>109</v>
      </c>
      <c r="J35" s="3">
        <v>-4</v>
      </c>
      <c r="K35" s="7">
        <v>0.4</v>
      </c>
      <c r="L35" s="3">
        <v>1</v>
      </c>
      <c r="M35" s="3">
        <v>1</v>
      </c>
      <c r="N35" s="3">
        <v>0</v>
      </c>
      <c r="O35" s="3">
        <v>9</v>
      </c>
      <c r="P35" s="6">
        <f t="shared" si="0"/>
        <v>10</v>
      </c>
    </row>
    <row r="36" spans="1:16" x14ac:dyDescent="0.25">
      <c r="A36" s="3">
        <v>35</v>
      </c>
      <c r="B36" s="3" t="s">
        <v>47</v>
      </c>
      <c r="C36" s="3" t="s">
        <v>8</v>
      </c>
      <c r="D36" s="3">
        <v>9</v>
      </c>
      <c r="E36" s="3">
        <v>3</v>
      </c>
      <c r="F36" s="3">
        <v>8</v>
      </c>
      <c r="G36" s="3">
        <v>11</v>
      </c>
      <c r="H36" s="3">
        <v>90</v>
      </c>
      <c r="I36" s="3">
        <v>112</v>
      </c>
      <c r="J36" s="3">
        <v>-22</v>
      </c>
      <c r="K36" s="5">
        <v>0.27300000000000002</v>
      </c>
      <c r="L36" s="3">
        <v>1</v>
      </c>
      <c r="M36" s="3">
        <v>1</v>
      </c>
      <c r="N36" s="3">
        <v>0</v>
      </c>
      <c r="O36" s="3">
        <v>10</v>
      </c>
      <c r="P36" s="6">
        <f t="shared" si="0"/>
        <v>9</v>
      </c>
    </row>
    <row r="37" spans="1:16" x14ac:dyDescent="0.25">
      <c r="A37" s="3">
        <v>36</v>
      </c>
      <c r="B37" s="3" t="s">
        <v>48</v>
      </c>
      <c r="C37" s="3" t="s">
        <v>23</v>
      </c>
      <c r="D37" s="3">
        <v>8</v>
      </c>
      <c r="E37" s="3">
        <v>0</v>
      </c>
      <c r="F37" s="3">
        <v>10</v>
      </c>
      <c r="G37" s="3">
        <v>10</v>
      </c>
      <c r="H37" s="3">
        <v>77</v>
      </c>
      <c r="I37" s="3">
        <v>112</v>
      </c>
      <c r="J37" s="3">
        <v>-35</v>
      </c>
      <c r="K37" s="7">
        <v>0</v>
      </c>
      <c r="L37" s="3">
        <v>1</v>
      </c>
      <c r="M37" s="3">
        <v>1</v>
      </c>
      <c r="N37" s="3">
        <v>0</v>
      </c>
      <c r="O37" s="3">
        <v>11</v>
      </c>
      <c r="P37" s="6">
        <f t="shared" si="0"/>
        <v>8</v>
      </c>
    </row>
    <row r="38" spans="1:16" x14ac:dyDescent="0.25">
      <c r="A38" s="3">
        <v>36</v>
      </c>
      <c r="B38" s="3" t="s">
        <v>49</v>
      </c>
      <c r="C38" s="3" t="s">
        <v>8</v>
      </c>
      <c r="D38" s="3">
        <v>8</v>
      </c>
      <c r="E38" s="3">
        <v>2</v>
      </c>
      <c r="F38" s="3">
        <v>9</v>
      </c>
      <c r="G38" s="3">
        <v>11</v>
      </c>
      <c r="H38" s="3">
        <v>89</v>
      </c>
      <c r="I38" s="3">
        <v>121</v>
      </c>
      <c r="J38" s="3">
        <v>-32</v>
      </c>
      <c r="K38" s="5">
        <v>0.182</v>
      </c>
      <c r="L38" s="3">
        <v>1</v>
      </c>
      <c r="M38" s="3">
        <v>1</v>
      </c>
      <c r="N38" s="3">
        <v>0</v>
      </c>
      <c r="O38" s="3">
        <v>11</v>
      </c>
      <c r="P38" s="6">
        <f t="shared" si="0"/>
        <v>8</v>
      </c>
    </row>
    <row r="39" spans="1:16" x14ac:dyDescent="0.25">
      <c r="A39" s="3">
        <v>38</v>
      </c>
      <c r="B39" s="3" t="s">
        <v>50</v>
      </c>
      <c r="C39" s="3" t="s">
        <v>8</v>
      </c>
      <c r="D39" s="3">
        <v>7</v>
      </c>
      <c r="E39" s="3">
        <v>3</v>
      </c>
      <c r="F39" s="3">
        <v>7</v>
      </c>
      <c r="G39" s="3">
        <v>10</v>
      </c>
      <c r="H39" s="3">
        <v>94</v>
      </c>
      <c r="I39" s="3">
        <v>115</v>
      </c>
      <c r="J39" s="3">
        <v>-21</v>
      </c>
      <c r="K39" s="7">
        <v>0.3</v>
      </c>
      <c r="L39" s="3">
        <v>1</v>
      </c>
      <c r="M39" s="3">
        <v>1</v>
      </c>
      <c r="N39" s="3">
        <v>0</v>
      </c>
      <c r="O39" s="3">
        <v>12</v>
      </c>
      <c r="P39" s="6">
        <f t="shared" si="0"/>
        <v>7</v>
      </c>
    </row>
    <row r="40" spans="1:16" x14ac:dyDescent="0.25">
      <c r="A40" s="3">
        <v>38</v>
      </c>
      <c r="B40" s="3" t="s">
        <v>51</v>
      </c>
      <c r="C40" s="3" t="s">
        <v>25</v>
      </c>
      <c r="D40" s="3">
        <v>7</v>
      </c>
      <c r="E40" s="3">
        <v>1</v>
      </c>
      <c r="F40" s="3">
        <v>10</v>
      </c>
      <c r="G40" s="3">
        <v>11</v>
      </c>
      <c r="H40" s="3">
        <v>80</v>
      </c>
      <c r="I40" s="3">
        <v>119</v>
      </c>
      <c r="J40" s="3">
        <v>-39</v>
      </c>
      <c r="K40" s="5">
        <v>9.0999999999999998E-2</v>
      </c>
      <c r="L40" s="3">
        <v>1</v>
      </c>
      <c r="M40" s="3">
        <v>1</v>
      </c>
      <c r="N40" s="3">
        <v>0</v>
      </c>
      <c r="O40" s="3">
        <v>12</v>
      </c>
      <c r="P40" s="6">
        <f t="shared" si="0"/>
        <v>7</v>
      </c>
    </row>
    <row r="41" spans="1:16" x14ac:dyDescent="0.25">
      <c r="A41" s="3">
        <v>38</v>
      </c>
      <c r="B41" s="3" t="s">
        <v>52</v>
      </c>
      <c r="C41" s="3" t="s">
        <v>8</v>
      </c>
      <c r="D41" s="3">
        <v>7</v>
      </c>
      <c r="E41" s="3">
        <v>2</v>
      </c>
      <c r="F41" s="3">
        <v>7</v>
      </c>
      <c r="G41" s="3">
        <v>9</v>
      </c>
      <c r="H41" s="3">
        <v>83</v>
      </c>
      <c r="I41" s="3">
        <v>93</v>
      </c>
      <c r="J41" s="3">
        <v>-10</v>
      </c>
      <c r="K41" s="5">
        <v>0.222</v>
      </c>
      <c r="L41" s="3">
        <v>1</v>
      </c>
      <c r="M41" s="3">
        <v>1</v>
      </c>
      <c r="N41" s="3">
        <v>0</v>
      </c>
      <c r="O41" s="3">
        <v>12</v>
      </c>
      <c r="P41" s="6">
        <f t="shared" si="0"/>
        <v>7</v>
      </c>
    </row>
    <row r="42" spans="1:16" x14ac:dyDescent="0.25">
      <c r="A42" s="3">
        <v>38</v>
      </c>
      <c r="B42" s="3" t="s">
        <v>53</v>
      </c>
      <c r="C42" s="3" t="s">
        <v>8</v>
      </c>
      <c r="D42" s="3">
        <v>7</v>
      </c>
      <c r="E42" s="3">
        <v>1</v>
      </c>
      <c r="F42" s="3">
        <v>10</v>
      </c>
      <c r="G42" s="3">
        <v>11</v>
      </c>
      <c r="H42" s="3">
        <v>86</v>
      </c>
      <c r="I42" s="3">
        <v>127</v>
      </c>
      <c r="J42" s="3">
        <v>-41</v>
      </c>
      <c r="K42" s="5">
        <v>9.0999999999999998E-2</v>
      </c>
      <c r="L42" s="3">
        <v>1</v>
      </c>
      <c r="M42" s="3">
        <v>1</v>
      </c>
      <c r="N42" s="3">
        <v>0</v>
      </c>
      <c r="O42" s="3">
        <v>12</v>
      </c>
      <c r="P42" s="6">
        <f t="shared" si="0"/>
        <v>7</v>
      </c>
    </row>
    <row r="43" spans="1:16" x14ac:dyDescent="0.25">
      <c r="A43" s="3">
        <v>38</v>
      </c>
      <c r="B43" s="3" t="s">
        <v>54</v>
      </c>
      <c r="C43" s="3" t="s">
        <v>8</v>
      </c>
      <c r="D43" s="3">
        <v>7</v>
      </c>
      <c r="E43" s="3">
        <v>0</v>
      </c>
      <c r="F43" s="3">
        <v>11</v>
      </c>
      <c r="G43" s="3">
        <v>11</v>
      </c>
      <c r="H43" s="3">
        <v>83</v>
      </c>
      <c r="I43" s="3">
        <v>121</v>
      </c>
      <c r="J43" s="3">
        <v>-38</v>
      </c>
      <c r="K43" s="7">
        <v>0</v>
      </c>
      <c r="L43" s="3">
        <v>1</v>
      </c>
      <c r="M43" s="3">
        <v>1</v>
      </c>
      <c r="N43" s="3">
        <v>0</v>
      </c>
      <c r="O43" s="3">
        <v>12</v>
      </c>
      <c r="P43" s="6">
        <f t="shared" si="0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Player-Rankings-ytHsDHiSEPVfgTG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2026-08-23T19:19:05Z</dcterms:created>
  <dcterms:modified xsi:type="dcterms:W3CDTF">2026-08-23T19:19:05Z</dcterms:modified>
</cp:coreProperties>
</file>