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914DC20F5C50B12/Documents/"/>
    </mc:Choice>
  </mc:AlternateContent>
  <xr:revisionPtr revIDLastSave="0" documentId="8_{E3276126-065C-413E-9D0D-4C87188C0690}" xr6:coauthVersionLast="47" xr6:coauthVersionMax="47" xr10:uidLastSave="{00000000-0000-0000-0000-000000000000}"/>
  <bookViews>
    <workbookView xWindow="-120" yWindow="-120" windowWidth="20730" windowHeight="11040" xr2:uid="{FFEB52E2-367C-4193-8300-5A5BCC80BCB5}"/>
  </bookViews>
  <sheets>
    <sheet name="Player-Rankings-TznNqHP1zjSPHUO" sheetId="1" r:id="rId1"/>
  </sheets>
  <calcPr calcId="0"/>
</workbook>
</file>

<file path=xl/calcChain.xml><?xml version="1.0" encoding="utf-8"?>
<calcChain xmlns="http://schemas.openxmlformats.org/spreadsheetml/2006/main">
  <c r="L4" i="1" l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" i="1"/>
</calcChain>
</file>

<file path=xl/sharedStrings.xml><?xml version="1.0" encoding="utf-8"?>
<sst xmlns="http://schemas.openxmlformats.org/spreadsheetml/2006/main" count="83" uniqueCount="57">
  <si>
    <t>Rank</t>
  </si>
  <si>
    <t>Name</t>
  </si>
  <si>
    <t>Club</t>
  </si>
  <si>
    <t>Points</t>
  </si>
  <si>
    <t>Wins</t>
  </si>
  <si>
    <t>Losses</t>
  </si>
  <si>
    <t>Win %</t>
  </si>
  <si>
    <t>David Huber</t>
  </si>
  <si>
    <t>Merrick in a pickle</t>
  </si>
  <si>
    <t>Jeff Hersh</t>
  </si>
  <si>
    <t>Pickle United</t>
  </si>
  <si>
    <t>Jonathan Mcmilleon</t>
  </si>
  <si>
    <t>Eran Dekel</t>
  </si>
  <si>
    <t>Kevin Monahan</t>
  </si>
  <si>
    <t>Michael Crews</t>
  </si>
  <si>
    <t>Charles Maione</t>
  </si>
  <si>
    <t>PxP PC</t>
  </si>
  <si>
    <t>Tony Romano</t>
  </si>
  <si>
    <t>Club Name Not Set</t>
  </si>
  <si>
    <t>Frank Rossetti</t>
  </si>
  <si>
    <t>Martha Garzon</t>
  </si>
  <si>
    <t>Brendan Stephenson</t>
  </si>
  <si>
    <t>Jeff Thompson</t>
  </si>
  <si>
    <t>Renata Pisani</t>
  </si>
  <si>
    <t>Sal Farruggia</t>
  </si>
  <si>
    <t>LI-Kick</t>
  </si>
  <si>
    <t>Andrew Johnson</t>
  </si>
  <si>
    <t>Daniel Calhoun</t>
  </si>
  <si>
    <t>Val Kats</t>
  </si>
  <si>
    <t>Hiro Fujiwara</t>
  </si>
  <si>
    <t>Cecilia Jozef</t>
  </si>
  <si>
    <t>Stephen Rizzi</t>
  </si>
  <si>
    <t>Jason Vargas</t>
  </si>
  <si>
    <t>Gino Schettini</t>
  </si>
  <si>
    <t>Eddie Rizzi</t>
  </si>
  <si>
    <t>Arthur Galo</t>
  </si>
  <si>
    <t>1 Pickleball Plaza</t>
  </si>
  <si>
    <t>Heidi Callahan</t>
  </si>
  <si>
    <t>Lauren Glodny</t>
  </si>
  <si>
    <t>Jay Colapinto</t>
  </si>
  <si>
    <t>Erik Deangelis</t>
  </si>
  <si>
    <t>Vic Daddario</t>
  </si>
  <si>
    <t>Jeff Fein</t>
  </si>
  <si>
    <t>Danielle Farruggia</t>
  </si>
  <si>
    <t>Keri Feng</t>
  </si>
  <si>
    <t>Gms</t>
  </si>
  <si>
    <t>Wks</t>
  </si>
  <si>
    <t>Medals</t>
  </si>
  <si>
    <t>Best</t>
  </si>
  <si>
    <t>PPW</t>
  </si>
  <si>
    <t>Pts for</t>
  </si>
  <si>
    <t>pts aga</t>
  </si>
  <si>
    <t>Diff</t>
  </si>
  <si>
    <t>Gold</t>
  </si>
  <si>
    <t>TUESDAY AM</t>
  </si>
  <si>
    <t>9 WEEKS</t>
  </si>
  <si>
    <t>MERRICK IN A PICKLE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</si>
</sst>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Grandview"/>
      <family val="2"/>
    </font>
    <font>
      <sz val="22"/>
      <color theme="1"/>
      <name val="ADLaM Display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0" fontId="0" fillId="0" borderId="10" xfId="0" applyBorder="1" applyAlignment="1">
      <alignment horizontal="center"/>
    </xf>
    <xf numFmtId="10" fontId="0" fillId="0" borderId="10" xfId="0" applyNumberFormat="1" applyBorder="1" applyAlignment="1">
      <alignment horizontal="center"/>
    </xf>
    <xf numFmtId="9" fontId="0" fillId="0" borderId="10" xfId="0" applyNumberFormat="1" applyBorder="1" applyAlignment="1">
      <alignment horizontal="center"/>
    </xf>
    <xf numFmtId="0" fontId="0" fillId="33" borderId="10" xfId="0" applyFill="1" applyBorder="1" applyAlignment="1">
      <alignment horizontal="center"/>
    </xf>
    <xf numFmtId="9" fontId="0" fillId="33" borderId="10" xfId="0" applyNumberFormat="1" applyFill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0" fontId="0" fillId="34" borderId="10" xfId="0" applyFill="1" applyBorder="1" applyAlignment="1">
      <alignment horizontal="center"/>
    </xf>
    <xf numFmtId="10" fontId="0" fillId="34" borderId="10" xfId="0" applyNumberFormat="1" applyFill="1" applyBorder="1" applyAlignment="1">
      <alignment horizontal="center"/>
    </xf>
    <xf numFmtId="164" fontId="0" fillId="33" borderId="10" xfId="0" applyNumberFormat="1" applyFill="1" applyBorder="1" applyAlignment="1">
      <alignment horizontal="center"/>
    </xf>
    <xf numFmtId="164" fontId="0" fillId="34" borderId="10" xfId="0" applyNumberFormat="1" applyFill="1" applyBorder="1" applyAlignment="1">
      <alignment horizontal="center"/>
    </xf>
    <xf numFmtId="164" fontId="0" fillId="35" borderId="10" xfId="0" applyNumberFormat="1" applyFill="1" applyBorder="1" applyAlignment="1">
      <alignment horizontal="center"/>
    </xf>
    <xf numFmtId="0" fontId="0" fillId="35" borderId="10" xfId="0" applyFill="1" applyBorder="1" applyAlignment="1">
      <alignment horizontal="center"/>
    </xf>
    <xf numFmtId="0" fontId="0" fillId="36" borderId="10" xfId="0" applyFill="1" applyBorder="1" applyAlignment="1">
      <alignment horizontal="center"/>
    </xf>
    <xf numFmtId="0" fontId="0" fillId="37" borderId="10" xfId="0" applyFill="1" applyBorder="1" applyAlignment="1">
      <alignment horizontal="center"/>
    </xf>
    <xf numFmtId="0" fontId="19" fillId="0" borderId="0" xfId="0" applyFont="1" applyAlignment="1">
      <alignment vertical="center"/>
    </xf>
    <xf numFmtId="0" fontId="18" fillId="38" borderId="10" xfId="0" applyFont="1" applyFill="1" applyBorder="1" applyAlignment="1">
      <alignment horizontal="center" vertical="center"/>
    </xf>
    <xf numFmtId="0" fontId="18" fillId="39" borderId="0" xfId="0" applyFont="1" applyFill="1" applyAlignment="1">
      <alignment vertical="center"/>
    </xf>
    <xf numFmtId="0" fontId="19" fillId="40" borderId="0" xfId="0" applyFont="1" applyFill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184EF-E7D9-49E4-BAD4-A7F322EC31CF}">
  <dimension ref="A1:P34"/>
  <sheetViews>
    <sheetView tabSelected="1" workbookViewId="0">
      <selection activeCell="Q7" sqref="Q7"/>
    </sheetView>
  </sheetViews>
  <sheetFormatPr defaultRowHeight="15" x14ac:dyDescent="0.25"/>
  <cols>
    <col min="2" max="2" width="20.5703125" customWidth="1"/>
    <col min="3" max="3" width="18.28515625" customWidth="1"/>
  </cols>
  <sheetData>
    <row r="1" spans="1:16" s="15" customFormat="1" ht="33.950000000000003" customHeight="1" x14ac:dyDescent="0.25">
      <c r="A1" s="18"/>
      <c r="B1" s="18" t="s">
        <v>54</v>
      </c>
      <c r="C1" s="18"/>
      <c r="D1" s="18"/>
      <c r="E1" s="18"/>
      <c r="F1" s="18"/>
      <c r="G1" s="18" t="s">
        <v>55</v>
      </c>
      <c r="H1" s="18"/>
      <c r="I1" s="18"/>
      <c r="J1" s="18"/>
      <c r="K1" s="18"/>
      <c r="L1" s="18" t="s">
        <v>56</v>
      </c>
      <c r="M1" s="18"/>
      <c r="N1" s="18"/>
      <c r="O1" s="18"/>
      <c r="P1" s="18"/>
    </row>
    <row r="2" spans="1:16" s="17" customFormat="1" ht="24.95" customHeight="1" x14ac:dyDescent="0.25">
      <c r="A2" s="16" t="s">
        <v>0</v>
      </c>
      <c r="B2" s="16" t="s">
        <v>1</v>
      </c>
      <c r="C2" s="16" t="s">
        <v>2</v>
      </c>
      <c r="D2" s="16" t="s">
        <v>3</v>
      </c>
      <c r="E2" s="16" t="s">
        <v>4</v>
      </c>
      <c r="F2" s="16" t="s">
        <v>5</v>
      </c>
      <c r="G2" s="16" t="s">
        <v>45</v>
      </c>
      <c r="H2" s="16" t="s">
        <v>6</v>
      </c>
      <c r="I2" s="16" t="s">
        <v>46</v>
      </c>
      <c r="J2" s="16" t="s">
        <v>47</v>
      </c>
      <c r="K2" s="16" t="s">
        <v>48</v>
      </c>
      <c r="L2" s="16" t="s">
        <v>49</v>
      </c>
      <c r="M2" s="16" t="s">
        <v>50</v>
      </c>
      <c r="N2" s="16" t="s">
        <v>51</v>
      </c>
      <c r="O2" s="16" t="s">
        <v>52</v>
      </c>
      <c r="P2" s="16" t="s">
        <v>53</v>
      </c>
    </row>
    <row r="3" spans="1:16" x14ac:dyDescent="0.25">
      <c r="A3" s="1">
        <v>1</v>
      </c>
      <c r="B3" s="4" t="s">
        <v>7</v>
      </c>
      <c r="C3" s="1" t="s">
        <v>8</v>
      </c>
      <c r="D3" s="4">
        <v>124</v>
      </c>
      <c r="E3" s="4">
        <v>53</v>
      </c>
      <c r="F3" s="1">
        <v>44</v>
      </c>
      <c r="G3" s="4">
        <v>97</v>
      </c>
      <c r="H3" s="2">
        <v>0.54600000000000004</v>
      </c>
      <c r="I3" s="4">
        <v>9</v>
      </c>
      <c r="J3" s="1">
        <v>1</v>
      </c>
      <c r="K3" s="1">
        <v>3</v>
      </c>
      <c r="L3" s="6">
        <f>D3/I3</f>
        <v>13.777777777777779</v>
      </c>
      <c r="M3" s="4">
        <v>971</v>
      </c>
      <c r="N3" s="1">
        <v>934</v>
      </c>
      <c r="O3" s="1">
        <v>37</v>
      </c>
      <c r="P3" s="1"/>
    </row>
    <row r="4" spans="1:16" x14ac:dyDescent="0.25">
      <c r="A4" s="1">
        <v>2</v>
      </c>
      <c r="B4" s="7" t="s">
        <v>9</v>
      </c>
      <c r="C4" s="1" t="s">
        <v>10</v>
      </c>
      <c r="D4" s="7">
        <v>120</v>
      </c>
      <c r="E4" s="7">
        <v>49</v>
      </c>
      <c r="F4" s="1">
        <v>24</v>
      </c>
      <c r="G4" s="1">
        <v>73</v>
      </c>
      <c r="H4" s="2">
        <v>0.67100000000000004</v>
      </c>
      <c r="I4" s="1">
        <v>7</v>
      </c>
      <c r="J4" s="4">
        <v>6</v>
      </c>
      <c r="K4" s="1">
        <v>1</v>
      </c>
      <c r="L4" s="6">
        <f t="shared" ref="L4:L34" si="0">D4/I4</f>
        <v>17.142857142857142</v>
      </c>
      <c r="M4" s="14">
        <v>765</v>
      </c>
      <c r="N4" s="1">
        <v>645</v>
      </c>
      <c r="O4" s="4">
        <v>120</v>
      </c>
      <c r="P4" s="7">
        <v>2</v>
      </c>
    </row>
    <row r="5" spans="1:16" x14ac:dyDescent="0.25">
      <c r="A5" s="1">
        <v>3</v>
      </c>
      <c r="B5" s="12" t="s">
        <v>11</v>
      </c>
      <c r="C5" s="1" t="s">
        <v>8</v>
      </c>
      <c r="D5" s="12">
        <v>109</v>
      </c>
      <c r="E5" s="12">
        <v>44</v>
      </c>
      <c r="F5" s="1">
        <v>30</v>
      </c>
      <c r="G5" s="1">
        <v>74</v>
      </c>
      <c r="H5" s="2">
        <v>0.59499999999999997</v>
      </c>
      <c r="I5" s="1">
        <v>7</v>
      </c>
      <c r="J5" s="7">
        <v>4</v>
      </c>
      <c r="K5" s="1">
        <v>1</v>
      </c>
      <c r="L5" s="6">
        <f t="shared" si="0"/>
        <v>15.571428571428571</v>
      </c>
      <c r="M5" s="1">
        <v>724</v>
      </c>
      <c r="N5" s="1">
        <v>653</v>
      </c>
      <c r="O5" s="13">
        <v>71</v>
      </c>
      <c r="P5" s="1">
        <v>1</v>
      </c>
    </row>
    <row r="6" spans="1:16" x14ac:dyDescent="0.25">
      <c r="A6" s="1">
        <v>4</v>
      </c>
      <c r="B6" s="1" t="s">
        <v>12</v>
      </c>
      <c r="C6" s="1" t="s">
        <v>8</v>
      </c>
      <c r="D6" s="1">
        <v>103</v>
      </c>
      <c r="E6" s="1">
        <v>40</v>
      </c>
      <c r="F6" s="1">
        <v>47</v>
      </c>
      <c r="G6" s="7">
        <v>87</v>
      </c>
      <c r="H6" s="3">
        <v>0.46</v>
      </c>
      <c r="I6" s="7">
        <v>8</v>
      </c>
      <c r="J6" s="1">
        <v>0</v>
      </c>
      <c r="K6" s="1">
        <v>4</v>
      </c>
      <c r="L6" s="6">
        <f t="shared" si="0"/>
        <v>12.875</v>
      </c>
      <c r="M6" s="7">
        <v>836</v>
      </c>
      <c r="N6" s="1">
        <v>842</v>
      </c>
      <c r="O6" s="1">
        <v>-6</v>
      </c>
      <c r="P6" s="1"/>
    </row>
    <row r="7" spans="1:16" x14ac:dyDescent="0.25">
      <c r="A7" s="1">
        <v>5</v>
      </c>
      <c r="B7" s="1" t="s">
        <v>13</v>
      </c>
      <c r="C7" s="1" t="s">
        <v>8</v>
      </c>
      <c r="D7" s="1">
        <v>102</v>
      </c>
      <c r="E7" s="12">
        <v>44</v>
      </c>
      <c r="F7" s="1">
        <v>17</v>
      </c>
      <c r="G7" s="1">
        <v>61</v>
      </c>
      <c r="H7" s="2">
        <v>0.72099999999999997</v>
      </c>
      <c r="I7" s="1">
        <v>6</v>
      </c>
      <c r="J7" s="7">
        <v>4</v>
      </c>
      <c r="K7" s="1">
        <v>1</v>
      </c>
      <c r="L7" s="11">
        <f t="shared" si="0"/>
        <v>17</v>
      </c>
      <c r="M7" s="1">
        <v>640</v>
      </c>
      <c r="N7" s="1">
        <v>540</v>
      </c>
      <c r="O7" s="7">
        <v>100</v>
      </c>
      <c r="P7" s="4">
        <v>3</v>
      </c>
    </row>
    <row r="8" spans="1:16" x14ac:dyDescent="0.25">
      <c r="A8" s="1">
        <v>6</v>
      </c>
      <c r="B8" s="1" t="s">
        <v>14</v>
      </c>
      <c r="C8" s="1" t="s">
        <v>8</v>
      </c>
      <c r="D8" s="1">
        <v>79</v>
      </c>
      <c r="E8" s="1">
        <v>29</v>
      </c>
      <c r="F8" s="1">
        <v>52</v>
      </c>
      <c r="G8" s="12">
        <v>81</v>
      </c>
      <c r="H8" s="2">
        <v>0.35799999999999998</v>
      </c>
      <c r="I8" s="7">
        <v>8</v>
      </c>
      <c r="J8" s="1">
        <v>0</v>
      </c>
      <c r="K8" s="1">
        <v>4</v>
      </c>
      <c r="L8" s="6">
        <f t="shared" si="0"/>
        <v>9.875</v>
      </c>
      <c r="M8" s="1">
        <v>733</v>
      </c>
      <c r="N8" s="1">
        <v>840</v>
      </c>
      <c r="O8" s="1">
        <v>-107</v>
      </c>
      <c r="P8" s="1"/>
    </row>
    <row r="9" spans="1:16" x14ac:dyDescent="0.25">
      <c r="A9" s="1">
        <v>7</v>
      </c>
      <c r="B9" s="1" t="s">
        <v>15</v>
      </c>
      <c r="C9" s="1" t="s">
        <v>16</v>
      </c>
      <c r="D9" s="1">
        <v>68</v>
      </c>
      <c r="E9" s="1">
        <v>27</v>
      </c>
      <c r="F9" s="1">
        <v>39</v>
      </c>
      <c r="G9" s="1">
        <v>66</v>
      </c>
      <c r="H9" s="2">
        <v>0.40899999999999997</v>
      </c>
      <c r="I9" s="1">
        <v>6</v>
      </c>
      <c r="J9" s="1">
        <v>1</v>
      </c>
      <c r="K9" s="1">
        <v>3</v>
      </c>
      <c r="L9" s="6">
        <f t="shared" si="0"/>
        <v>11.333333333333334</v>
      </c>
      <c r="M9" s="1">
        <v>605</v>
      </c>
      <c r="N9" s="1">
        <v>675</v>
      </c>
      <c r="O9" s="1">
        <v>-70</v>
      </c>
      <c r="P9" s="1"/>
    </row>
    <row r="10" spans="1:16" x14ac:dyDescent="0.25">
      <c r="A10" s="1">
        <v>8</v>
      </c>
      <c r="B10" s="1" t="s">
        <v>17</v>
      </c>
      <c r="C10" s="1" t="s">
        <v>18</v>
      </c>
      <c r="D10" s="1">
        <v>58</v>
      </c>
      <c r="E10" s="1">
        <v>25</v>
      </c>
      <c r="F10" s="1">
        <v>18</v>
      </c>
      <c r="G10" s="1">
        <v>43</v>
      </c>
      <c r="H10" s="2">
        <v>0.58099999999999996</v>
      </c>
      <c r="I10" s="1">
        <v>4</v>
      </c>
      <c r="J10" s="1">
        <v>1</v>
      </c>
      <c r="K10" s="1">
        <v>2</v>
      </c>
      <c r="L10" s="6">
        <f t="shared" si="0"/>
        <v>14.5</v>
      </c>
      <c r="M10" s="1">
        <v>448</v>
      </c>
      <c r="N10" s="1">
        <v>409</v>
      </c>
      <c r="O10" s="1">
        <v>39</v>
      </c>
      <c r="P10" s="1"/>
    </row>
    <row r="11" spans="1:16" x14ac:dyDescent="0.25">
      <c r="A11" s="1">
        <v>9</v>
      </c>
      <c r="B11" s="1" t="s">
        <v>19</v>
      </c>
      <c r="C11" s="1" t="s">
        <v>8</v>
      </c>
      <c r="D11" s="1">
        <v>56</v>
      </c>
      <c r="E11" s="1">
        <v>24</v>
      </c>
      <c r="F11" s="1">
        <v>32</v>
      </c>
      <c r="G11" s="1">
        <v>56</v>
      </c>
      <c r="H11" s="2">
        <v>0.42899999999999999</v>
      </c>
      <c r="I11" s="1">
        <v>5</v>
      </c>
      <c r="J11" s="1">
        <v>1</v>
      </c>
      <c r="K11" s="1">
        <v>3</v>
      </c>
      <c r="L11" s="6">
        <f t="shared" si="0"/>
        <v>11.2</v>
      </c>
      <c r="M11" s="1">
        <v>514</v>
      </c>
      <c r="N11" s="1">
        <v>537</v>
      </c>
      <c r="O11" s="1">
        <v>-23</v>
      </c>
      <c r="P11" s="1"/>
    </row>
    <row r="12" spans="1:16" x14ac:dyDescent="0.25">
      <c r="A12" s="1">
        <v>10</v>
      </c>
      <c r="B12" s="1" t="s">
        <v>20</v>
      </c>
      <c r="C12" s="1" t="s">
        <v>8</v>
      </c>
      <c r="D12" s="1">
        <v>53</v>
      </c>
      <c r="E12" s="1">
        <v>13</v>
      </c>
      <c r="F12" s="1">
        <v>53</v>
      </c>
      <c r="G12" s="1">
        <v>66</v>
      </c>
      <c r="H12" s="2">
        <v>0.19700000000000001</v>
      </c>
      <c r="I12" s="1">
        <v>6</v>
      </c>
      <c r="J12" s="1">
        <v>0</v>
      </c>
      <c r="K12" s="1">
        <v>8</v>
      </c>
      <c r="L12" s="6">
        <f t="shared" si="0"/>
        <v>8.8333333333333339</v>
      </c>
      <c r="M12" s="1">
        <v>517</v>
      </c>
      <c r="N12" s="1">
        <v>688</v>
      </c>
      <c r="O12" s="1">
        <v>-171</v>
      </c>
      <c r="P12" s="1"/>
    </row>
    <row r="13" spans="1:16" x14ac:dyDescent="0.25">
      <c r="A13" s="1">
        <v>11</v>
      </c>
      <c r="B13" s="1" t="s">
        <v>21</v>
      </c>
      <c r="C13" s="1" t="s">
        <v>8</v>
      </c>
      <c r="D13" s="1">
        <v>49</v>
      </c>
      <c r="E13" s="1">
        <v>21</v>
      </c>
      <c r="F13" s="1">
        <v>12</v>
      </c>
      <c r="G13" s="1">
        <v>33</v>
      </c>
      <c r="H13" s="2">
        <v>0.63600000000000001</v>
      </c>
      <c r="I13" s="1">
        <v>3</v>
      </c>
      <c r="J13" s="1">
        <v>1</v>
      </c>
      <c r="K13" s="1">
        <v>1</v>
      </c>
      <c r="L13" s="6">
        <f t="shared" si="0"/>
        <v>16.333333333333332</v>
      </c>
      <c r="M13" s="1">
        <v>338</v>
      </c>
      <c r="N13" s="1">
        <v>270</v>
      </c>
      <c r="O13" s="1">
        <v>68</v>
      </c>
      <c r="P13" s="1">
        <v>1</v>
      </c>
    </row>
    <row r="14" spans="1:16" x14ac:dyDescent="0.25">
      <c r="A14" s="1">
        <v>12</v>
      </c>
      <c r="B14" s="1" t="s">
        <v>22</v>
      </c>
      <c r="C14" s="1" t="s">
        <v>8</v>
      </c>
      <c r="D14" s="1">
        <v>47</v>
      </c>
      <c r="E14" s="1">
        <v>21</v>
      </c>
      <c r="F14" s="1">
        <v>11</v>
      </c>
      <c r="G14" s="1">
        <v>32</v>
      </c>
      <c r="H14" s="2">
        <v>0.65600000000000003</v>
      </c>
      <c r="I14" s="1">
        <v>3</v>
      </c>
      <c r="J14" s="1">
        <v>2</v>
      </c>
      <c r="K14" s="1">
        <v>2</v>
      </c>
      <c r="L14" s="6">
        <f t="shared" si="0"/>
        <v>15.666666666666666</v>
      </c>
      <c r="M14" s="1">
        <v>319</v>
      </c>
      <c r="N14" s="1">
        <v>287</v>
      </c>
      <c r="O14" s="1">
        <v>32</v>
      </c>
      <c r="P14" s="1"/>
    </row>
    <row r="15" spans="1:16" x14ac:dyDescent="0.25">
      <c r="A15" s="1">
        <v>13</v>
      </c>
      <c r="B15" s="1" t="s">
        <v>23</v>
      </c>
      <c r="C15" s="1" t="s">
        <v>8</v>
      </c>
      <c r="D15" s="1">
        <v>44</v>
      </c>
      <c r="E15" s="1">
        <v>18</v>
      </c>
      <c r="F15" s="1">
        <v>12</v>
      </c>
      <c r="G15" s="1">
        <v>30</v>
      </c>
      <c r="H15" s="3">
        <v>0.6</v>
      </c>
      <c r="I15" s="1">
        <v>3</v>
      </c>
      <c r="J15" s="1">
        <v>1</v>
      </c>
      <c r="K15" s="1">
        <v>2</v>
      </c>
      <c r="L15" s="6">
        <f t="shared" si="0"/>
        <v>14.666666666666666</v>
      </c>
      <c r="M15" s="1">
        <v>309</v>
      </c>
      <c r="N15" s="1">
        <v>292</v>
      </c>
      <c r="O15" s="1">
        <v>17</v>
      </c>
      <c r="P15" s="1"/>
    </row>
    <row r="16" spans="1:16" x14ac:dyDescent="0.25">
      <c r="A16" s="1">
        <v>14</v>
      </c>
      <c r="B16" s="1" t="s">
        <v>24</v>
      </c>
      <c r="C16" s="1" t="s">
        <v>25</v>
      </c>
      <c r="D16" s="1">
        <v>40</v>
      </c>
      <c r="E16" s="1">
        <v>20</v>
      </c>
      <c r="F16" s="1">
        <v>5</v>
      </c>
      <c r="G16" s="1">
        <v>25</v>
      </c>
      <c r="H16" s="5">
        <v>0.8</v>
      </c>
      <c r="I16" s="1">
        <v>2</v>
      </c>
      <c r="J16" s="1">
        <v>2</v>
      </c>
      <c r="K16" s="1">
        <v>1</v>
      </c>
      <c r="L16" s="9">
        <f t="shared" si="0"/>
        <v>20</v>
      </c>
      <c r="M16" s="1">
        <v>270</v>
      </c>
      <c r="N16" s="1">
        <v>208</v>
      </c>
      <c r="O16" s="1">
        <v>62</v>
      </c>
      <c r="P16" s="7">
        <v>2</v>
      </c>
    </row>
    <row r="17" spans="1:16" x14ac:dyDescent="0.25">
      <c r="A17" s="1">
        <v>15</v>
      </c>
      <c r="B17" s="1" t="s">
        <v>26</v>
      </c>
      <c r="C17" s="1" t="s">
        <v>8</v>
      </c>
      <c r="D17" s="1">
        <v>39</v>
      </c>
      <c r="E17" s="1">
        <v>17</v>
      </c>
      <c r="F17" s="1">
        <v>18</v>
      </c>
      <c r="G17" s="1">
        <v>35</v>
      </c>
      <c r="H17" s="2">
        <v>0.48599999999999999</v>
      </c>
      <c r="I17" s="1">
        <v>3</v>
      </c>
      <c r="J17" s="1">
        <v>0</v>
      </c>
      <c r="K17" s="1">
        <v>4</v>
      </c>
      <c r="L17" s="6">
        <f t="shared" si="0"/>
        <v>13</v>
      </c>
      <c r="M17" s="1">
        <v>323</v>
      </c>
      <c r="N17" s="1">
        <v>336</v>
      </c>
      <c r="O17" s="1">
        <v>-13</v>
      </c>
      <c r="P17" s="1"/>
    </row>
    <row r="18" spans="1:16" x14ac:dyDescent="0.25">
      <c r="A18" s="1">
        <v>16</v>
      </c>
      <c r="B18" s="1" t="s">
        <v>27</v>
      </c>
      <c r="C18" s="1" t="s">
        <v>8</v>
      </c>
      <c r="D18" s="1">
        <v>25</v>
      </c>
      <c r="E18" s="1">
        <v>10</v>
      </c>
      <c r="F18" s="1">
        <v>9</v>
      </c>
      <c r="G18" s="1">
        <v>19</v>
      </c>
      <c r="H18" s="2">
        <v>0.52600000000000002</v>
      </c>
      <c r="I18" s="1">
        <v>2</v>
      </c>
      <c r="J18" s="1">
        <v>0</v>
      </c>
      <c r="K18" s="1">
        <v>6</v>
      </c>
      <c r="L18" s="6">
        <f t="shared" si="0"/>
        <v>12.5</v>
      </c>
      <c r="M18" s="1">
        <v>184</v>
      </c>
      <c r="N18" s="1">
        <v>175</v>
      </c>
      <c r="O18" s="1">
        <v>9</v>
      </c>
      <c r="P18" s="1"/>
    </row>
    <row r="19" spans="1:16" x14ac:dyDescent="0.25">
      <c r="A19" s="1">
        <v>17</v>
      </c>
      <c r="B19" s="1" t="s">
        <v>28</v>
      </c>
      <c r="C19" s="1" t="s">
        <v>16</v>
      </c>
      <c r="D19" s="1">
        <v>22</v>
      </c>
      <c r="E19" s="1">
        <v>8</v>
      </c>
      <c r="F19" s="1">
        <v>25</v>
      </c>
      <c r="G19" s="1">
        <v>33</v>
      </c>
      <c r="H19" s="2">
        <v>0.24199999999999999</v>
      </c>
      <c r="I19" s="1">
        <v>3</v>
      </c>
      <c r="J19" s="1">
        <v>0</v>
      </c>
      <c r="K19" s="1">
        <v>11</v>
      </c>
      <c r="L19" s="6">
        <f t="shared" si="0"/>
        <v>7.333333333333333</v>
      </c>
      <c r="M19" s="1">
        <v>256</v>
      </c>
      <c r="N19" s="1">
        <v>355</v>
      </c>
      <c r="O19" s="1">
        <v>-99</v>
      </c>
      <c r="P19" s="1"/>
    </row>
    <row r="20" spans="1:16" x14ac:dyDescent="0.25">
      <c r="A20" s="1">
        <v>18</v>
      </c>
      <c r="B20" s="1" t="s">
        <v>29</v>
      </c>
      <c r="C20" s="1" t="s">
        <v>8</v>
      </c>
      <c r="D20" s="1">
        <v>19</v>
      </c>
      <c r="E20" s="1">
        <v>7</v>
      </c>
      <c r="F20" s="1">
        <v>15</v>
      </c>
      <c r="G20" s="1">
        <v>22</v>
      </c>
      <c r="H20" s="2">
        <v>0.318</v>
      </c>
      <c r="I20" s="1">
        <v>2</v>
      </c>
      <c r="J20" s="1">
        <v>0</v>
      </c>
      <c r="K20" s="1">
        <v>8</v>
      </c>
      <c r="L20" s="6">
        <f t="shared" si="0"/>
        <v>9.5</v>
      </c>
      <c r="M20" s="1">
        <v>175</v>
      </c>
      <c r="N20" s="1">
        <v>226</v>
      </c>
      <c r="O20" s="1">
        <v>-51</v>
      </c>
      <c r="P20" s="1"/>
    </row>
    <row r="21" spans="1:16" x14ac:dyDescent="0.25">
      <c r="A21" s="1">
        <v>19</v>
      </c>
      <c r="B21" s="1" t="s">
        <v>30</v>
      </c>
      <c r="C21" s="1" t="s">
        <v>8</v>
      </c>
      <c r="D21" s="1">
        <v>18</v>
      </c>
      <c r="E21" s="1">
        <v>8</v>
      </c>
      <c r="F21" s="1">
        <v>3</v>
      </c>
      <c r="G21" s="1">
        <v>11</v>
      </c>
      <c r="H21" s="8">
        <v>0.72699999999999998</v>
      </c>
      <c r="I21" s="1">
        <v>1</v>
      </c>
      <c r="J21" s="1">
        <v>1</v>
      </c>
      <c r="K21" s="1">
        <v>2</v>
      </c>
      <c r="L21" s="10">
        <f t="shared" si="0"/>
        <v>18</v>
      </c>
      <c r="M21" s="1">
        <v>119</v>
      </c>
      <c r="N21" s="1">
        <v>89</v>
      </c>
      <c r="O21" s="1">
        <v>30</v>
      </c>
      <c r="P21" s="1"/>
    </row>
    <row r="22" spans="1:16" x14ac:dyDescent="0.25">
      <c r="A22" s="1">
        <v>20</v>
      </c>
      <c r="B22" s="1" t="s">
        <v>31</v>
      </c>
      <c r="C22" s="1" t="s">
        <v>8</v>
      </c>
      <c r="D22" s="1">
        <v>16</v>
      </c>
      <c r="E22" s="1">
        <v>8</v>
      </c>
      <c r="F22" s="1">
        <v>3</v>
      </c>
      <c r="G22" s="1">
        <v>11</v>
      </c>
      <c r="H22" s="8">
        <v>0.72699999999999998</v>
      </c>
      <c r="I22" s="1">
        <v>1</v>
      </c>
      <c r="J22" s="1">
        <v>1</v>
      </c>
      <c r="K22" s="1">
        <v>3</v>
      </c>
      <c r="L22" s="6">
        <f t="shared" si="0"/>
        <v>16</v>
      </c>
      <c r="M22" s="1">
        <v>106</v>
      </c>
      <c r="N22" s="1">
        <v>81</v>
      </c>
      <c r="O22" s="1">
        <v>25</v>
      </c>
      <c r="P22" s="1"/>
    </row>
    <row r="23" spans="1:16" x14ac:dyDescent="0.25">
      <c r="A23" s="1">
        <v>20</v>
      </c>
      <c r="B23" s="1" t="s">
        <v>32</v>
      </c>
      <c r="C23" s="1" t="s">
        <v>8</v>
      </c>
      <c r="D23" s="1">
        <v>16</v>
      </c>
      <c r="E23" s="1">
        <v>6</v>
      </c>
      <c r="F23" s="1">
        <v>4</v>
      </c>
      <c r="G23" s="1">
        <v>10</v>
      </c>
      <c r="H23" s="3">
        <v>0.6</v>
      </c>
      <c r="I23" s="1">
        <v>1</v>
      </c>
      <c r="J23" s="1">
        <v>1</v>
      </c>
      <c r="K23" s="1">
        <v>3</v>
      </c>
      <c r="L23" s="6">
        <f t="shared" si="0"/>
        <v>16</v>
      </c>
      <c r="M23" s="1">
        <v>105</v>
      </c>
      <c r="N23" s="1">
        <v>97</v>
      </c>
      <c r="O23" s="1">
        <v>8</v>
      </c>
      <c r="P23" s="1"/>
    </row>
    <row r="24" spans="1:16" x14ac:dyDescent="0.25">
      <c r="A24" s="1">
        <v>22</v>
      </c>
      <c r="B24" s="1" t="s">
        <v>33</v>
      </c>
      <c r="C24" s="1" t="s">
        <v>16</v>
      </c>
      <c r="D24" s="1">
        <v>15</v>
      </c>
      <c r="E24" s="1">
        <v>7</v>
      </c>
      <c r="F24" s="1">
        <v>4</v>
      </c>
      <c r="G24" s="1">
        <v>11</v>
      </c>
      <c r="H24" s="2">
        <v>0.63600000000000001</v>
      </c>
      <c r="I24" s="1">
        <v>1</v>
      </c>
      <c r="J24" s="1">
        <v>0</v>
      </c>
      <c r="K24" s="1">
        <v>4</v>
      </c>
      <c r="L24" s="6">
        <f t="shared" si="0"/>
        <v>15</v>
      </c>
      <c r="M24" s="1">
        <v>109</v>
      </c>
      <c r="N24" s="1">
        <v>90</v>
      </c>
      <c r="O24" s="1">
        <v>19</v>
      </c>
      <c r="P24" s="1"/>
    </row>
    <row r="25" spans="1:16" x14ac:dyDescent="0.25">
      <c r="A25" s="1">
        <v>23</v>
      </c>
      <c r="B25" s="1" t="s">
        <v>34</v>
      </c>
      <c r="C25" s="1" t="s">
        <v>8</v>
      </c>
      <c r="D25" s="1">
        <v>13</v>
      </c>
      <c r="E25" s="1">
        <v>6</v>
      </c>
      <c r="F25" s="1">
        <v>5</v>
      </c>
      <c r="G25" s="1">
        <v>11</v>
      </c>
      <c r="H25" s="2">
        <v>0.54500000000000004</v>
      </c>
      <c r="I25" s="1">
        <v>1</v>
      </c>
      <c r="J25" s="1">
        <v>0</v>
      </c>
      <c r="K25" s="1">
        <v>6</v>
      </c>
      <c r="L25" s="6">
        <f t="shared" si="0"/>
        <v>13</v>
      </c>
      <c r="M25" s="1">
        <v>102</v>
      </c>
      <c r="N25" s="1">
        <v>103</v>
      </c>
      <c r="O25" s="1">
        <v>-1</v>
      </c>
      <c r="P25" s="1"/>
    </row>
    <row r="26" spans="1:16" x14ac:dyDescent="0.25">
      <c r="A26" s="1">
        <v>23</v>
      </c>
      <c r="B26" s="1" t="s">
        <v>35</v>
      </c>
      <c r="C26" s="1" t="s">
        <v>36</v>
      </c>
      <c r="D26" s="1">
        <v>13</v>
      </c>
      <c r="E26" s="1">
        <v>6</v>
      </c>
      <c r="F26" s="1">
        <v>5</v>
      </c>
      <c r="G26" s="1">
        <v>11</v>
      </c>
      <c r="H26" s="2">
        <v>0.54500000000000004</v>
      </c>
      <c r="I26" s="1">
        <v>1</v>
      </c>
      <c r="J26" s="1">
        <v>0</v>
      </c>
      <c r="K26" s="1">
        <v>6</v>
      </c>
      <c r="L26" s="6">
        <f t="shared" si="0"/>
        <v>13</v>
      </c>
      <c r="M26" s="1">
        <v>104</v>
      </c>
      <c r="N26" s="1">
        <v>91</v>
      </c>
      <c r="O26" s="1">
        <v>13</v>
      </c>
      <c r="P26" s="1"/>
    </row>
    <row r="27" spans="1:16" x14ac:dyDescent="0.25">
      <c r="A27" s="1">
        <v>25</v>
      </c>
      <c r="B27" s="1" t="s">
        <v>37</v>
      </c>
      <c r="C27" s="1" t="s">
        <v>10</v>
      </c>
      <c r="D27" s="1">
        <v>12</v>
      </c>
      <c r="E27" s="1">
        <v>6</v>
      </c>
      <c r="F27" s="1">
        <v>5</v>
      </c>
      <c r="G27" s="1">
        <v>11</v>
      </c>
      <c r="H27" s="2">
        <v>0.54500000000000004</v>
      </c>
      <c r="I27" s="1">
        <v>1</v>
      </c>
      <c r="J27" s="1">
        <v>0</v>
      </c>
      <c r="K27" s="1">
        <v>7</v>
      </c>
      <c r="L27" s="6">
        <f t="shared" si="0"/>
        <v>12</v>
      </c>
      <c r="M27" s="1">
        <v>96</v>
      </c>
      <c r="N27" s="1">
        <v>110</v>
      </c>
      <c r="O27" s="1">
        <v>-14</v>
      </c>
      <c r="P27" s="1"/>
    </row>
    <row r="28" spans="1:16" x14ac:dyDescent="0.25">
      <c r="A28" s="1">
        <v>26</v>
      </c>
      <c r="B28" s="1" t="s">
        <v>38</v>
      </c>
      <c r="C28" s="1" t="s">
        <v>8</v>
      </c>
      <c r="D28" s="1">
        <v>11</v>
      </c>
      <c r="E28" s="1">
        <v>5</v>
      </c>
      <c r="F28" s="1">
        <v>5</v>
      </c>
      <c r="G28" s="1">
        <v>10</v>
      </c>
      <c r="H28" s="3">
        <v>0.5</v>
      </c>
      <c r="I28" s="1">
        <v>1</v>
      </c>
      <c r="J28" s="1">
        <v>0</v>
      </c>
      <c r="K28" s="1">
        <v>8</v>
      </c>
      <c r="L28" s="6">
        <f t="shared" si="0"/>
        <v>11</v>
      </c>
      <c r="M28" s="1">
        <v>92</v>
      </c>
      <c r="N28" s="1">
        <v>101</v>
      </c>
      <c r="O28" s="1">
        <v>-9</v>
      </c>
      <c r="P28" s="1"/>
    </row>
    <row r="29" spans="1:16" x14ac:dyDescent="0.25">
      <c r="A29" s="1">
        <v>27</v>
      </c>
      <c r="B29" s="1" t="s">
        <v>39</v>
      </c>
      <c r="C29" s="1" t="s">
        <v>8</v>
      </c>
      <c r="D29" s="1">
        <v>9</v>
      </c>
      <c r="E29" s="1">
        <v>3</v>
      </c>
      <c r="F29" s="1">
        <v>6</v>
      </c>
      <c r="G29" s="1">
        <v>9</v>
      </c>
      <c r="H29" s="2">
        <v>0.33300000000000002</v>
      </c>
      <c r="I29" s="1">
        <v>1</v>
      </c>
      <c r="J29" s="1">
        <v>0</v>
      </c>
      <c r="K29" s="1">
        <v>10</v>
      </c>
      <c r="L29" s="6">
        <f t="shared" si="0"/>
        <v>9</v>
      </c>
      <c r="M29" s="1">
        <v>87</v>
      </c>
      <c r="N29" s="1">
        <v>96</v>
      </c>
      <c r="O29" s="1">
        <v>-9</v>
      </c>
      <c r="P29" s="1"/>
    </row>
    <row r="30" spans="1:16" x14ac:dyDescent="0.25">
      <c r="A30" s="1">
        <v>27</v>
      </c>
      <c r="B30" s="1" t="s">
        <v>40</v>
      </c>
      <c r="C30" s="1" t="s">
        <v>16</v>
      </c>
      <c r="D30" s="1">
        <v>9</v>
      </c>
      <c r="E30" s="1">
        <v>3</v>
      </c>
      <c r="F30" s="1">
        <v>8</v>
      </c>
      <c r="G30" s="1">
        <v>11</v>
      </c>
      <c r="H30" s="2">
        <v>0.27300000000000002</v>
      </c>
      <c r="I30" s="1">
        <v>1</v>
      </c>
      <c r="J30" s="1">
        <v>0</v>
      </c>
      <c r="K30" s="1">
        <v>10</v>
      </c>
      <c r="L30" s="6">
        <f t="shared" si="0"/>
        <v>9</v>
      </c>
      <c r="M30" s="1">
        <v>95</v>
      </c>
      <c r="N30" s="1">
        <v>114</v>
      </c>
      <c r="O30" s="1">
        <v>-19</v>
      </c>
      <c r="P30" s="1"/>
    </row>
    <row r="31" spans="1:16" x14ac:dyDescent="0.25">
      <c r="A31" s="1">
        <v>27</v>
      </c>
      <c r="B31" s="1" t="s">
        <v>41</v>
      </c>
      <c r="C31" s="1" t="s">
        <v>8</v>
      </c>
      <c r="D31" s="1">
        <v>9</v>
      </c>
      <c r="E31" s="1">
        <v>3</v>
      </c>
      <c r="F31" s="1">
        <v>8</v>
      </c>
      <c r="G31" s="1">
        <v>11</v>
      </c>
      <c r="H31" s="2">
        <v>0.27300000000000002</v>
      </c>
      <c r="I31" s="1">
        <v>1</v>
      </c>
      <c r="J31" s="1">
        <v>0</v>
      </c>
      <c r="K31" s="1">
        <v>10</v>
      </c>
      <c r="L31" s="6">
        <f t="shared" si="0"/>
        <v>9</v>
      </c>
      <c r="M31" s="1">
        <v>92</v>
      </c>
      <c r="N31" s="1">
        <v>112</v>
      </c>
      <c r="O31" s="1">
        <v>-20</v>
      </c>
      <c r="P31" s="1"/>
    </row>
    <row r="32" spans="1:16" x14ac:dyDescent="0.25">
      <c r="A32" s="1">
        <v>30</v>
      </c>
      <c r="B32" s="1" t="s">
        <v>42</v>
      </c>
      <c r="C32" s="1" t="s">
        <v>8</v>
      </c>
      <c r="D32" s="1">
        <v>8</v>
      </c>
      <c r="E32" s="1">
        <v>3</v>
      </c>
      <c r="F32" s="1">
        <v>7</v>
      </c>
      <c r="G32" s="1">
        <v>10</v>
      </c>
      <c r="H32" s="3">
        <v>0.3</v>
      </c>
      <c r="I32" s="1">
        <v>1</v>
      </c>
      <c r="J32" s="1">
        <v>0</v>
      </c>
      <c r="K32" s="1">
        <v>11</v>
      </c>
      <c r="L32" s="6">
        <f t="shared" si="0"/>
        <v>8</v>
      </c>
      <c r="M32" s="1">
        <v>99</v>
      </c>
      <c r="N32" s="1">
        <v>100</v>
      </c>
      <c r="O32" s="1">
        <v>-1</v>
      </c>
      <c r="P32" s="1"/>
    </row>
    <row r="33" spans="1:16" x14ac:dyDescent="0.25">
      <c r="A33" s="1">
        <v>30</v>
      </c>
      <c r="B33" s="1" t="s">
        <v>43</v>
      </c>
      <c r="C33" s="1" t="s">
        <v>8</v>
      </c>
      <c r="D33" s="1">
        <v>8</v>
      </c>
      <c r="E33" s="1">
        <v>3</v>
      </c>
      <c r="F33" s="1">
        <v>8</v>
      </c>
      <c r="G33" s="1">
        <v>11</v>
      </c>
      <c r="H33" s="2">
        <v>0.27300000000000002</v>
      </c>
      <c r="I33" s="1">
        <v>1</v>
      </c>
      <c r="J33" s="1">
        <v>0</v>
      </c>
      <c r="K33" s="1">
        <v>11</v>
      </c>
      <c r="L33" s="6">
        <f t="shared" si="0"/>
        <v>8</v>
      </c>
      <c r="M33" s="1">
        <v>95</v>
      </c>
      <c r="N33" s="1">
        <v>114</v>
      </c>
      <c r="O33" s="1">
        <v>-19</v>
      </c>
      <c r="P33" s="1"/>
    </row>
    <row r="34" spans="1:16" x14ac:dyDescent="0.25">
      <c r="A34" s="1">
        <v>30</v>
      </c>
      <c r="B34" s="1" t="s">
        <v>44</v>
      </c>
      <c r="C34" s="1" t="s">
        <v>8</v>
      </c>
      <c r="D34" s="1">
        <v>8</v>
      </c>
      <c r="E34" s="1">
        <v>3</v>
      </c>
      <c r="F34" s="1">
        <v>6</v>
      </c>
      <c r="G34" s="1">
        <v>9</v>
      </c>
      <c r="H34" s="2">
        <v>0.33300000000000002</v>
      </c>
      <c r="I34" s="1">
        <v>1</v>
      </c>
      <c r="J34" s="1">
        <v>0</v>
      </c>
      <c r="K34" s="1">
        <v>11</v>
      </c>
      <c r="L34" s="6">
        <f t="shared" si="0"/>
        <v>8</v>
      </c>
      <c r="M34" s="1">
        <v>76</v>
      </c>
      <c r="N34" s="1">
        <v>94</v>
      </c>
      <c r="O34" s="1">
        <v>-18</v>
      </c>
      <c r="P3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Player-Rankings-TznNqHP1zjSPHUO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Huber</cp:lastModifiedBy>
  <dcterms:created xsi:type="dcterms:W3CDTF">2026-10-28T02:18:41Z</dcterms:created>
  <dcterms:modified xsi:type="dcterms:W3CDTF">2026-10-28T02:18:41Z</dcterms:modified>
</cp:coreProperties>
</file>